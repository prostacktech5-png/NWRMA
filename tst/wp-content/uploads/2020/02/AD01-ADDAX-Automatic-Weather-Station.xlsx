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6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Totals'!$16:$18</definedName>
  </definedNames>
  <calcPr calcId="145621"/>
</workbook>
</file>

<file path=xl/calcChain.xml><?xml version="1.0" encoding="utf-8"?>
<calcChain xmlns="http://schemas.openxmlformats.org/spreadsheetml/2006/main">
  <c r="C5" i="3" l="1"/>
  <c r="B5" i="3"/>
  <c r="B4" i="3"/>
  <c r="B3" i="3"/>
  <c r="B15" i="3" l="1"/>
  <c r="B14" i="3"/>
  <c r="B2" i="3"/>
  <c r="B6" i="3"/>
  <c r="B7" i="3"/>
  <c r="B8" i="3"/>
  <c r="B9" i="3"/>
  <c r="B10" i="3"/>
  <c r="B12" i="6"/>
  <c r="B11" i="6"/>
  <c r="B13" i="6"/>
  <c r="I32" i="3" l="1"/>
  <c r="J32" i="3"/>
  <c r="I33" i="3"/>
  <c r="J33" i="3"/>
  <c r="I34" i="3"/>
  <c r="J34" i="3"/>
  <c r="I35" i="3"/>
  <c r="J35" i="3"/>
  <c r="I36" i="3"/>
  <c r="J36" i="3"/>
  <c r="I21" i="3"/>
  <c r="I22" i="3"/>
  <c r="I23" i="3"/>
  <c r="I24" i="3"/>
  <c r="I25" i="3"/>
  <c r="I26" i="3"/>
  <c r="I27" i="3"/>
  <c r="I28" i="3"/>
  <c r="I29" i="3"/>
  <c r="I30" i="3"/>
  <c r="I31" i="3"/>
  <c r="I20" i="3"/>
  <c r="J21" i="3"/>
  <c r="J22" i="3"/>
  <c r="J23" i="3"/>
  <c r="J24" i="3"/>
  <c r="J25" i="3"/>
  <c r="J26" i="3"/>
  <c r="J27" i="3"/>
  <c r="J28" i="3"/>
  <c r="J29" i="3"/>
  <c r="J30" i="3"/>
  <c r="J31" i="3"/>
  <c r="J20" i="3"/>
  <c r="A485" i="3"/>
  <c r="D485" i="3" s="1"/>
  <c r="B485" i="3"/>
  <c r="A486" i="3"/>
  <c r="D486" i="3" s="1"/>
  <c r="B486" i="3"/>
  <c r="A487" i="3"/>
  <c r="B487" i="3"/>
  <c r="A488" i="3"/>
  <c r="B488" i="3"/>
  <c r="A489" i="3"/>
  <c r="B489" i="3"/>
  <c r="A490" i="3"/>
  <c r="D490" i="3" s="1"/>
  <c r="B490" i="3"/>
  <c r="A491" i="3"/>
  <c r="B491" i="3"/>
  <c r="A492" i="3"/>
  <c r="B492" i="3"/>
  <c r="A493" i="3"/>
  <c r="D493" i="3" s="1"/>
  <c r="B493" i="3"/>
  <c r="A494" i="3"/>
  <c r="D494" i="3" s="1"/>
  <c r="B494" i="3"/>
  <c r="A495" i="3"/>
  <c r="D495" i="3" s="1"/>
  <c r="B495" i="3"/>
  <c r="A496" i="3"/>
  <c r="B496" i="3"/>
  <c r="A497" i="3"/>
  <c r="D497" i="3" s="1"/>
  <c r="B497" i="3"/>
  <c r="A498" i="3"/>
  <c r="B498" i="3"/>
  <c r="A447" i="3"/>
  <c r="D447" i="3" s="1"/>
  <c r="B447" i="3"/>
  <c r="A448" i="3"/>
  <c r="D448" i="3" s="1"/>
  <c r="B448" i="3"/>
  <c r="A449" i="3"/>
  <c r="B449" i="3"/>
  <c r="A450" i="3"/>
  <c r="D450" i="3" s="1"/>
  <c r="B450" i="3"/>
  <c r="A451" i="3"/>
  <c r="B451" i="3"/>
  <c r="A452" i="3"/>
  <c r="B452" i="3"/>
  <c r="A453" i="3"/>
  <c r="D453" i="3" s="1"/>
  <c r="B453" i="3"/>
  <c r="A454" i="3"/>
  <c r="D454" i="3" s="1"/>
  <c r="B454" i="3"/>
  <c r="A455" i="3"/>
  <c r="D455" i="3" s="1"/>
  <c r="B455" i="3"/>
  <c r="A456" i="3"/>
  <c r="D456" i="3" s="1"/>
  <c r="B456" i="3"/>
  <c r="A457" i="3"/>
  <c r="B457" i="3"/>
  <c r="A458" i="3"/>
  <c r="D458" i="3" s="1"/>
  <c r="B458" i="3"/>
  <c r="A459" i="3"/>
  <c r="B459" i="3"/>
  <c r="A460" i="3"/>
  <c r="B460" i="3"/>
  <c r="A461" i="3"/>
  <c r="D461" i="3" s="1"/>
  <c r="B461" i="3"/>
  <c r="A462" i="3"/>
  <c r="B462" i="3"/>
  <c r="A463" i="3"/>
  <c r="D463" i="3" s="1"/>
  <c r="B463" i="3"/>
  <c r="A464" i="3"/>
  <c r="D464" i="3" s="1"/>
  <c r="B464" i="3"/>
  <c r="A465" i="3"/>
  <c r="D465" i="3" s="1"/>
  <c r="B465" i="3"/>
  <c r="A466" i="3"/>
  <c r="D466" i="3" s="1"/>
  <c r="B466" i="3"/>
  <c r="A467" i="3"/>
  <c r="B467" i="3"/>
  <c r="A468" i="3"/>
  <c r="B468" i="3"/>
  <c r="A469" i="3"/>
  <c r="D469" i="3" s="1"/>
  <c r="B469" i="3"/>
  <c r="A470" i="3"/>
  <c r="D470" i="3" s="1"/>
  <c r="B470" i="3"/>
  <c r="A471" i="3"/>
  <c r="D471" i="3" s="1"/>
  <c r="B471" i="3"/>
  <c r="A472" i="3"/>
  <c r="D472" i="3" s="1"/>
  <c r="B472" i="3"/>
  <c r="A473" i="3"/>
  <c r="B473" i="3"/>
  <c r="A474" i="3"/>
  <c r="D474" i="3" s="1"/>
  <c r="B474" i="3"/>
  <c r="A475" i="3"/>
  <c r="B475" i="3"/>
  <c r="A476" i="3"/>
  <c r="B476" i="3"/>
  <c r="A477" i="3"/>
  <c r="D477" i="3" s="1"/>
  <c r="B477" i="3"/>
  <c r="A478" i="3"/>
  <c r="B478" i="3"/>
  <c r="A479" i="3"/>
  <c r="D479" i="3" s="1"/>
  <c r="B479" i="3"/>
  <c r="A480" i="3"/>
  <c r="D480" i="3" s="1"/>
  <c r="B480" i="3"/>
  <c r="A481" i="3"/>
  <c r="B481" i="3"/>
  <c r="A482" i="3"/>
  <c r="D482" i="3" s="1"/>
  <c r="B482" i="3"/>
  <c r="A483" i="3"/>
  <c r="B483" i="3"/>
  <c r="A484" i="3"/>
  <c r="B484" i="3"/>
  <c r="A379" i="3"/>
  <c r="D379" i="3" s="1"/>
  <c r="B379" i="3"/>
  <c r="A380" i="3"/>
  <c r="B380" i="3"/>
  <c r="A381" i="3"/>
  <c r="D381" i="3" s="1"/>
  <c r="B381" i="3"/>
  <c r="A382" i="3"/>
  <c r="B382" i="3"/>
  <c r="A383" i="3"/>
  <c r="D383" i="3" s="1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D391" i="3" s="1"/>
  <c r="B391" i="3"/>
  <c r="A392" i="3"/>
  <c r="D392" i="3" s="1"/>
  <c r="B392" i="3"/>
  <c r="A393" i="3"/>
  <c r="B393" i="3"/>
  <c r="A394" i="3"/>
  <c r="B394" i="3"/>
  <c r="A395" i="3"/>
  <c r="D395" i="3" s="1"/>
  <c r="B395" i="3"/>
  <c r="A396" i="3"/>
  <c r="D396" i="3" s="1"/>
  <c r="B396" i="3"/>
  <c r="A397" i="3"/>
  <c r="D397" i="3" s="1"/>
  <c r="B397" i="3"/>
  <c r="A398" i="3"/>
  <c r="B398" i="3"/>
  <c r="A399" i="3"/>
  <c r="D399" i="3" s="1"/>
  <c r="B399" i="3"/>
  <c r="A400" i="3"/>
  <c r="B400" i="3"/>
  <c r="A401" i="3"/>
  <c r="B401" i="3"/>
  <c r="A402" i="3"/>
  <c r="B402" i="3"/>
  <c r="A403" i="3"/>
  <c r="D403" i="3" s="1"/>
  <c r="B403" i="3"/>
  <c r="A404" i="3"/>
  <c r="B404" i="3"/>
  <c r="A405" i="3"/>
  <c r="B405" i="3"/>
  <c r="A406" i="3"/>
  <c r="B406" i="3"/>
  <c r="A407" i="3"/>
  <c r="D407" i="3" s="1"/>
  <c r="B407" i="3"/>
  <c r="A408" i="3"/>
  <c r="D408" i="3" s="1"/>
  <c r="B408" i="3"/>
  <c r="A409" i="3"/>
  <c r="B409" i="3"/>
  <c r="A410" i="3"/>
  <c r="B410" i="3"/>
  <c r="A411" i="3"/>
  <c r="B411" i="3"/>
  <c r="A412" i="3"/>
  <c r="D412" i="3" s="1"/>
  <c r="B412" i="3"/>
  <c r="A413" i="3"/>
  <c r="D413" i="3" s="1"/>
  <c r="B413" i="3"/>
  <c r="A414" i="3"/>
  <c r="D414" i="3" s="1"/>
  <c r="B414" i="3"/>
  <c r="A415" i="3"/>
  <c r="B415" i="3"/>
  <c r="A416" i="3"/>
  <c r="B416" i="3"/>
  <c r="A417" i="3"/>
  <c r="D417" i="3" s="1"/>
  <c r="B417" i="3"/>
  <c r="A418" i="3"/>
  <c r="B418" i="3"/>
  <c r="A419" i="3"/>
  <c r="D419" i="3" s="1"/>
  <c r="B419" i="3"/>
  <c r="A420" i="3"/>
  <c r="D420" i="3" s="1"/>
  <c r="B420" i="3"/>
  <c r="A421" i="3"/>
  <c r="B421" i="3"/>
  <c r="A422" i="3"/>
  <c r="D422" i="3" s="1"/>
  <c r="B422" i="3"/>
  <c r="A423" i="3"/>
  <c r="B423" i="3"/>
  <c r="A424" i="3"/>
  <c r="D424" i="3" s="1"/>
  <c r="B424" i="3"/>
  <c r="A425" i="3"/>
  <c r="B425" i="3"/>
  <c r="A426" i="3"/>
  <c r="B426" i="3"/>
  <c r="A427" i="3"/>
  <c r="D427" i="3" s="1"/>
  <c r="B427" i="3"/>
  <c r="A428" i="3"/>
  <c r="D428" i="3" s="1"/>
  <c r="B428" i="3"/>
  <c r="A429" i="3"/>
  <c r="D429" i="3" s="1"/>
  <c r="B429" i="3"/>
  <c r="A430" i="3"/>
  <c r="B430" i="3"/>
  <c r="A431" i="3"/>
  <c r="D431" i="3" s="1"/>
  <c r="B431" i="3"/>
  <c r="A432" i="3"/>
  <c r="D432" i="3" s="1"/>
  <c r="B432" i="3"/>
  <c r="A433" i="3"/>
  <c r="B433" i="3"/>
  <c r="A434" i="3"/>
  <c r="D434" i="3" s="1"/>
  <c r="B434" i="3"/>
  <c r="A435" i="3"/>
  <c r="B435" i="3"/>
  <c r="A436" i="3"/>
  <c r="D436" i="3" s="1"/>
  <c r="B436" i="3"/>
  <c r="A437" i="3"/>
  <c r="B437" i="3"/>
  <c r="A438" i="3"/>
  <c r="D438" i="3" s="1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B443" i="3"/>
  <c r="A444" i="3"/>
  <c r="D444" i="3" s="1"/>
  <c r="B444" i="3"/>
  <c r="A445" i="3"/>
  <c r="D445" i="3" s="1"/>
  <c r="B445" i="3"/>
  <c r="A446" i="3"/>
  <c r="D446" i="3" s="1"/>
  <c r="B446" i="3"/>
  <c r="D421" i="3" l="1"/>
  <c r="D418" i="3"/>
  <c r="D416" i="3"/>
  <c r="D382" i="3"/>
  <c r="D484" i="3"/>
  <c r="D475" i="3"/>
  <c r="D468" i="3"/>
  <c r="D459" i="3"/>
  <c r="D452" i="3"/>
  <c r="D491" i="3"/>
  <c r="D487" i="3"/>
  <c r="D473" i="3"/>
  <c r="D380" i="3"/>
  <c r="D443" i="3"/>
  <c r="D435" i="3"/>
  <c r="D430" i="3"/>
  <c r="D426" i="3"/>
  <c r="D400" i="3"/>
  <c r="D389" i="3"/>
  <c r="D496" i="3"/>
  <c r="D478" i="3"/>
  <c r="D387" i="3"/>
  <c r="D398" i="3"/>
  <c r="D394" i="3"/>
  <c r="D483" i="3"/>
  <c r="D476" i="3"/>
  <c r="D467" i="3"/>
  <c r="D460" i="3"/>
  <c r="D451" i="3"/>
  <c r="D492" i="3"/>
  <c r="D498" i="3"/>
  <c r="D457" i="3"/>
  <c r="D433" i="3"/>
  <c r="D385" i="3"/>
  <c r="D411" i="3"/>
  <c r="D409" i="3"/>
  <c r="D405" i="3"/>
  <c r="D384" i="3"/>
  <c r="D489" i="3"/>
  <c r="D481" i="3"/>
  <c r="D462" i="3"/>
  <c r="D449" i="3"/>
  <c r="D437" i="3"/>
  <c r="D423" i="3"/>
  <c r="D401" i="3"/>
  <c r="D488" i="3"/>
  <c r="D410" i="3"/>
  <c r="D406" i="3"/>
  <c r="D402" i="3"/>
  <c r="D390" i="3"/>
  <c r="D386" i="3"/>
  <c r="D425" i="3"/>
  <c r="D415" i="3"/>
  <c r="D404" i="3"/>
  <c r="D393" i="3"/>
  <c r="D388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D313" i="3" s="1"/>
  <c r="B313" i="3"/>
  <c r="A314" i="3"/>
  <c r="B314" i="3"/>
  <c r="A315" i="3"/>
  <c r="B315" i="3"/>
  <c r="A316" i="3"/>
  <c r="B316" i="3"/>
  <c r="A317" i="3"/>
  <c r="B317" i="3"/>
  <c r="A318" i="3"/>
  <c r="D318" i="3" s="1"/>
  <c r="B318" i="3"/>
  <c r="A319" i="3"/>
  <c r="D319" i="3" s="1"/>
  <c r="B319" i="3"/>
  <c r="A320" i="3"/>
  <c r="D320" i="3" s="1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D329" i="3" s="1"/>
  <c r="B329" i="3"/>
  <c r="A330" i="3"/>
  <c r="B330" i="3"/>
  <c r="A331" i="3"/>
  <c r="B331" i="3"/>
  <c r="A332" i="3"/>
  <c r="B332" i="3"/>
  <c r="A333" i="3"/>
  <c r="B333" i="3"/>
  <c r="A334" i="3"/>
  <c r="D334" i="3" s="1"/>
  <c r="B334" i="3"/>
  <c r="A335" i="3"/>
  <c r="D335" i="3" s="1"/>
  <c r="B335" i="3"/>
  <c r="A336" i="3"/>
  <c r="D336" i="3" s="1"/>
  <c r="B336" i="3"/>
  <c r="A337" i="3"/>
  <c r="B337" i="3"/>
  <c r="A338" i="3"/>
  <c r="B338" i="3"/>
  <c r="A339" i="3"/>
  <c r="B339" i="3"/>
  <c r="A340" i="3"/>
  <c r="B340" i="3"/>
  <c r="A341" i="3"/>
  <c r="B341" i="3"/>
  <c r="A342" i="3"/>
  <c r="B342" i="3"/>
  <c r="A343" i="3"/>
  <c r="B343" i="3"/>
  <c r="A344" i="3"/>
  <c r="B344" i="3"/>
  <c r="A345" i="3"/>
  <c r="D345" i="3" s="1"/>
  <c r="B345" i="3"/>
  <c r="A346" i="3"/>
  <c r="B346" i="3"/>
  <c r="A347" i="3"/>
  <c r="B347" i="3"/>
  <c r="A348" i="3"/>
  <c r="B348" i="3"/>
  <c r="A349" i="3"/>
  <c r="B349" i="3"/>
  <c r="A350" i="3"/>
  <c r="D350" i="3" s="1"/>
  <c r="B350" i="3"/>
  <c r="A351" i="3"/>
  <c r="D351" i="3" s="1"/>
  <c r="B351" i="3"/>
  <c r="A352" i="3"/>
  <c r="D352" i="3" s="1"/>
  <c r="B352" i="3"/>
  <c r="A353" i="3"/>
  <c r="B353" i="3"/>
  <c r="A354" i="3"/>
  <c r="B354" i="3"/>
  <c r="A355" i="3"/>
  <c r="B355" i="3"/>
  <c r="A356" i="3"/>
  <c r="B356" i="3"/>
  <c r="A357" i="3"/>
  <c r="B357" i="3"/>
  <c r="A358" i="3"/>
  <c r="B358" i="3"/>
  <c r="A359" i="3"/>
  <c r="B359" i="3"/>
  <c r="A360" i="3"/>
  <c r="B360" i="3"/>
  <c r="A361" i="3"/>
  <c r="D361" i="3" s="1"/>
  <c r="B361" i="3"/>
  <c r="A362" i="3"/>
  <c r="B362" i="3"/>
  <c r="A363" i="3"/>
  <c r="B363" i="3"/>
  <c r="A364" i="3"/>
  <c r="B364" i="3"/>
  <c r="A365" i="3"/>
  <c r="B365" i="3"/>
  <c r="A366" i="3"/>
  <c r="D366" i="3" s="1"/>
  <c r="B366" i="3"/>
  <c r="A367" i="3"/>
  <c r="B367" i="3"/>
  <c r="A368" i="3"/>
  <c r="B368" i="3"/>
  <c r="A369" i="3"/>
  <c r="B369" i="3"/>
  <c r="A370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D377" i="3" s="1"/>
  <c r="B377" i="3"/>
  <c r="A378" i="3"/>
  <c r="B378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D270" i="3" s="1"/>
  <c r="B270" i="3"/>
  <c r="A271" i="3"/>
  <c r="D271" i="3" s="1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D278" i="3" s="1"/>
  <c r="B278" i="3"/>
  <c r="A279" i="3"/>
  <c r="D279" i="3" s="1"/>
  <c r="B279" i="3"/>
  <c r="A280" i="3"/>
  <c r="B280" i="3"/>
  <c r="A281" i="3"/>
  <c r="B281" i="3"/>
  <c r="A282" i="3"/>
  <c r="B282" i="3"/>
  <c r="A283" i="3"/>
  <c r="B283" i="3"/>
  <c r="A284" i="3"/>
  <c r="B284" i="3"/>
  <c r="A285" i="3"/>
  <c r="D285" i="3" s="1"/>
  <c r="B285" i="3"/>
  <c r="A286" i="3"/>
  <c r="B286" i="3"/>
  <c r="A287" i="3"/>
  <c r="D287" i="3" s="1"/>
  <c r="B287" i="3"/>
  <c r="A288" i="3"/>
  <c r="B288" i="3"/>
  <c r="A289" i="3"/>
  <c r="B289" i="3"/>
  <c r="A290" i="3"/>
  <c r="B290" i="3"/>
  <c r="A291" i="3"/>
  <c r="B291" i="3"/>
  <c r="A292" i="3"/>
  <c r="D292" i="3" s="1"/>
  <c r="B292" i="3"/>
  <c r="A293" i="3"/>
  <c r="D293" i="3" s="1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D304" i="3" s="1"/>
  <c r="B304" i="3"/>
  <c r="A305" i="3"/>
  <c r="B305" i="3"/>
  <c r="A306" i="3"/>
  <c r="B306" i="3"/>
  <c r="D291" i="3" l="1"/>
  <c r="D289" i="3"/>
  <c r="D283" i="3"/>
  <c r="D281" i="3"/>
  <c r="D269" i="3"/>
  <c r="D267" i="3"/>
  <c r="D263" i="3"/>
  <c r="D378" i="3"/>
  <c r="D376" i="3"/>
  <c r="D374" i="3"/>
  <c r="D372" i="3"/>
  <c r="D370" i="3"/>
  <c r="D368" i="3"/>
  <c r="D362" i="3"/>
  <c r="D358" i="3"/>
  <c r="D348" i="3"/>
  <c r="D344" i="3"/>
  <c r="D340" i="3"/>
  <c r="D330" i="3"/>
  <c r="D326" i="3"/>
  <c r="D314" i="3"/>
  <c r="D302" i="3"/>
  <c r="D298" i="3"/>
  <c r="D296" i="3"/>
  <c r="D294" i="3"/>
  <c r="D290" i="3"/>
  <c r="D280" i="3"/>
  <c r="D266" i="3"/>
  <c r="D262" i="3"/>
  <c r="D357" i="3"/>
  <c r="D355" i="3"/>
  <c r="D353" i="3"/>
  <c r="D343" i="3"/>
  <c r="D341" i="3"/>
  <c r="D339" i="3"/>
  <c r="D337" i="3"/>
  <c r="D331" i="3"/>
  <c r="D315" i="3"/>
  <c r="D307" i="3"/>
  <c r="D305" i="3"/>
  <c r="D303" i="3"/>
  <c r="D301" i="3"/>
  <c r="D299" i="3"/>
  <c r="D297" i="3"/>
  <c r="D295" i="3"/>
  <c r="D277" i="3"/>
  <c r="D275" i="3"/>
  <c r="D273" i="3"/>
  <c r="D265" i="3"/>
  <c r="D364" i="3"/>
  <c r="D360" i="3"/>
  <c r="D356" i="3"/>
  <c r="D354" i="3"/>
  <c r="D346" i="3"/>
  <c r="D342" i="3"/>
  <c r="D338" i="3"/>
  <c r="D332" i="3"/>
  <c r="D328" i="3"/>
  <c r="D324" i="3"/>
  <c r="D322" i="3"/>
  <c r="D316" i="3"/>
  <c r="D312" i="3"/>
  <c r="D310" i="3"/>
  <c r="D308" i="3"/>
  <c r="D306" i="3"/>
  <c r="D300" i="3"/>
  <c r="D288" i="3"/>
  <c r="D286" i="3"/>
  <c r="D284" i="3"/>
  <c r="D282" i="3"/>
  <c r="D276" i="3"/>
  <c r="D274" i="3"/>
  <c r="D272" i="3"/>
  <c r="D268" i="3"/>
  <c r="D264" i="3"/>
  <c r="D375" i="3"/>
  <c r="D373" i="3"/>
  <c r="D371" i="3"/>
  <c r="D369" i="3"/>
  <c r="D367" i="3"/>
  <c r="D365" i="3"/>
  <c r="D363" i="3"/>
  <c r="D359" i="3"/>
  <c r="D349" i="3"/>
  <c r="D347" i="3"/>
  <c r="D333" i="3"/>
  <c r="D327" i="3"/>
  <c r="D325" i="3"/>
  <c r="D323" i="3"/>
  <c r="D321" i="3"/>
  <c r="D317" i="3"/>
  <c r="D311" i="3"/>
  <c r="D309" i="3"/>
  <c r="A21" i="3" l="1"/>
  <c r="D21" i="3" s="1"/>
  <c r="B21" i="3"/>
  <c r="A22" i="3"/>
  <c r="D22" i="3" s="1"/>
  <c r="B22" i="3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A29" i="3"/>
  <c r="D29" i="3" s="1"/>
  <c r="B29" i="3"/>
  <c r="A30" i="3"/>
  <c r="D30" i="3" s="1"/>
  <c r="B30" i="3"/>
  <c r="A31" i="3"/>
  <c r="D31" i="3" s="1"/>
  <c r="B31" i="3"/>
  <c r="A32" i="3"/>
  <c r="D32" i="3" s="1"/>
  <c r="B32" i="3"/>
  <c r="A33" i="3"/>
  <c r="D33" i="3" s="1"/>
  <c r="B33" i="3"/>
  <c r="A34" i="3"/>
  <c r="D34" i="3" s="1"/>
  <c r="B34" i="3"/>
  <c r="A35" i="3"/>
  <c r="D35" i="3" s="1"/>
  <c r="B35" i="3"/>
  <c r="A36" i="3"/>
  <c r="D36" i="3" s="1"/>
  <c r="B36" i="3"/>
  <c r="A37" i="3"/>
  <c r="D37" i="3" s="1"/>
  <c r="B37" i="3"/>
  <c r="A38" i="3"/>
  <c r="D38" i="3" s="1"/>
  <c r="B38" i="3"/>
  <c r="A39" i="3"/>
  <c r="D39" i="3" s="1"/>
  <c r="B39" i="3"/>
  <c r="A40" i="3"/>
  <c r="D40" i="3" s="1"/>
  <c r="B40" i="3"/>
  <c r="A41" i="3"/>
  <c r="D41" i="3" s="1"/>
  <c r="B41" i="3"/>
  <c r="A42" i="3"/>
  <c r="D42" i="3" s="1"/>
  <c r="B42" i="3"/>
  <c r="A43" i="3"/>
  <c r="D43" i="3" s="1"/>
  <c r="B43" i="3"/>
  <c r="A44" i="3"/>
  <c r="D44" i="3" s="1"/>
  <c r="B44" i="3"/>
  <c r="A45" i="3"/>
  <c r="D45" i="3" s="1"/>
  <c r="B45" i="3"/>
  <c r="A46" i="3"/>
  <c r="D46" i="3" s="1"/>
  <c r="B46" i="3"/>
  <c r="A47" i="3"/>
  <c r="D47" i="3" s="1"/>
  <c r="B47" i="3"/>
  <c r="A48" i="3"/>
  <c r="D48" i="3" s="1"/>
  <c r="B48" i="3"/>
  <c r="A49" i="3"/>
  <c r="D49" i="3" s="1"/>
  <c r="B49" i="3"/>
  <c r="A50" i="3"/>
  <c r="D50" i="3" s="1"/>
  <c r="B50" i="3"/>
  <c r="A51" i="3"/>
  <c r="D51" i="3" s="1"/>
  <c r="B51" i="3"/>
  <c r="A52" i="3"/>
  <c r="D52" i="3" s="1"/>
  <c r="B52" i="3"/>
  <c r="A53" i="3"/>
  <c r="D53" i="3" s="1"/>
  <c r="B53" i="3"/>
  <c r="A54" i="3"/>
  <c r="D54" i="3" s="1"/>
  <c r="B54" i="3"/>
  <c r="A55" i="3"/>
  <c r="D55" i="3" s="1"/>
  <c r="B55" i="3"/>
  <c r="A56" i="3"/>
  <c r="D56" i="3" s="1"/>
  <c r="B56" i="3"/>
  <c r="A57" i="3"/>
  <c r="D57" i="3" s="1"/>
  <c r="B57" i="3"/>
  <c r="A58" i="3"/>
  <c r="D58" i="3" s="1"/>
  <c r="B58" i="3"/>
  <c r="A59" i="3"/>
  <c r="D59" i="3" s="1"/>
  <c r="B59" i="3"/>
  <c r="A60" i="3"/>
  <c r="D60" i="3" s="1"/>
  <c r="B60" i="3"/>
  <c r="A61" i="3"/>
  <c r="D61" i="3" s="1"/>
  <c r="B61" i="3"/>
  <c r="A62" i="3"/>
  <c r="D62" i="3" s="1"/>
  <c r="B62" i="3"/>
  <c r="A63" i="3"/>
  <c r="D63" i="3" s="1"/>
  <c r="B63" i="3"/>
  <c r="A64" i="3"/>
  <c r="D64" i="3" s="1"/>
  <c r="B64" i="3"/>
  <c r="A65" i="3"/>
  <c r="D65" i="3" s="1"/>
  <c r="B65" i="3"/>
  <c r="A66" i="3"/>
  <c r="D66" i="3" s="1"/>
  <c r="B66" i="3"/>
  <c r="A67" i="3"/>
  <c r="D67" i="3" s="1"/>
  <c r="B67" i="3"/>
  <c r="A68" i="3"/>
  <c r="D68" i="3" s="1"/>
  <c r="B68" i="3"/>
  <c r="A69" i="3"/>
  <c r="D69" i="3" s="1"/>
  <c r="B69" i="3"/>
  <c r="A70" i="3"/>
  <c r="D70" i="3" s="1"/>
  <c r="B70" i="3"/>
  <c r="A71" i="3"/>
  <c r="D71" i="3" s="1"/>
  <c r="B71" i="3"/>
  <c r="A72" i="3"/>
  <c r="D72" i="3" s="1"/>
  <c r="B72" i="3"/>
  <c r="A73" i="3"/>
  <c r="D73" i="3" s="1"/>
  <c r="B73" i="3"/>
  <c r="A74" i="3"/>
  <c r="D74" i="3" s="1"/>
  <c r="B74" i="3"/>
  <c r="A75" i="3"/>
  <c r="D75" i="3" s="1"/>
  <c r="B75" i="3"/>
  <c r="A76" i="3"/>
  <c r="D76" i="3" s="1"/>
  <c r="B76" i="3"/>
  <c r="A77" i="3"/>
  <c r="D77" i="3" s="1"/>
  <c r="B77" i="3"/>
  <c r="A78" i="3"/>
  <c r="D78" i="3" s="1"/>
  <c r="B78" i="3"/>
  <c r="A79" i="3"/>
  <c r="D79" i="3" s="1"/>
  <c r="B79" i="3"/>
  <c r="A80" i="3"/>
  <c r="D80" i="3" s="1"/>
  <c r="B80" i="3"/>
  <c r="A81" i="3"/>
  <c r="D81" i="3" s="1"/>
  <c r="B81" i="3"/>
  <c r="A82" i="3"/>
  <c r="D82" i="3" s="1"/>
  <c r="B82" i="3"/>
  <c r="A83" i="3"/>
  <c r="D83" i="3" s="1"/>
  <c r="B83" i="3"/>
  <c r="A84" i="3"/>
  <c r="D84" i="3" s="1"/>
  <c r="B84" i="3"/>
  <c r="A85" i="3"/>
  <c r="D85" i="3" s="1"/>
  <c r="B85" i="3"/>
  <c r="A86" i="3"/>
  <c r="D86" i="3" s="1"/>
  <c r="B86" i="3"/>
  <c r="A87" i="3"/>
  <c r="D87" i="3" s="1"/>
  <c r="B87" i="3"/>
  <c r="A88" i="3"/>
  <c r="D88" i="3" s="1"/>
  <c r="B88" i="3"/>
  <c r="A89" i="3"/>
  <c r="D89" i="3" s="1"/>
  <c r="B89" i="3"/>
  <c r="A90" i="3"/>
  <c r="D90" i="3" s="1"/>
  <c r="B90" i="3"/>
  <c r="A91" i="3"/>
  <c r="D91" i="3" s="1"/>
  <c r="B91" i="3"/>
  <c r="A92" i="3"/>
  <c r="D92" i="3" s="1"/>
  <c r="B92" i="3"/>
  <c r="A93" i="3"/>
  <c r="D93" i="3" s="1"/>
  <c r="B93" i="3"/>
  <c r="A94" i="3"/>
  <c r="D94" i="3" s="1"/>
  <c r="B94" i="3"/>
  <c r="A95" i="3"/>
  <c r="D95" i="3" s="1"/>
  <c r="B95" i="3"/>
  <c r="A96" i="3"/>
  <c r="D96" i="3" s="1"/>
  <c r="B96" i="3"/>
  <c r="A97" i="3"/>
  <c r="D97" i="3" s="1"/>
  <c r="B97" i="3"/>
  <c r="A98" i="3"/>
  <c r="D98" i="3" s="1"/>
  <c r="B98" i="3"/>
  <c r="A99" i="3"/>
  <c r="D99" i="3" s="1"/>
  <c r="B99" i="3"/>
  <c r="A100" i="3"/>
  <c r="D100" i="3" s="1"/>
  <c r="B100" i="3"/>
  <c r="A101" i="3"/>
  <c r="D101" i="3" s="1"/>
  <c r="B101" i="3"/>
  <c r="A102" i="3"/>
  <c r="D102" i="3" s="1"/>
  <c r="B102" i="3"/>
  <c r="A103" i="3"/>
  <c r="D103" i="3" s="1"/>
  <c r="B103" i="3"/>
  <c r="A104" i="3"/>
  <c r="D104" i="3" s="1"/>
  <c r="B104" i="3"/>
  <c r="A105" i="3"/>
  <c r="D105" i="3" s="1"/>
  <c r="B105" i="3"/>
  <c r="A106" i="3"/>
  <c r="D106" i="3" s="1"/>
  <c r="B106" i="3"/>
  <c r="A107" i="3"/>
  <c r="D107" i="3" s="1"/>
  <c r="B107" i="3"/>
  <c r="A108" i="3"/>
  <c r="D108" i="3" s="1"/>
  <c r="B108" i="3"/>
  <c r="A109" i="3"/>
  <c r="D109" i="3" s="1"/>
  <c r="B109" i="3"/>
  <c r="A110" i="3"/>
  <c r="D110" i="3" s="1"/>
  <c r="B110" i="3"/>
  <c r="A111" i="3"/>
  <c r="D111" i="3" s="1"/>
  <c r="B111" i="3"/>
  <c r="A112" i="3"/>
  <c r="D112" i="3" s="1"/>
  <c r="B112" i="3"/>
  <c r="A113" i="3"/>
  <c r="D113" i="3" s="1"/>
  <c r="B113" i="3"/>
  <c r="A114" i="3"/>
  <c r="D114" i="3" s="1"/>
  <c r="B114" i="3"/>
  <c r="A115" i="3"/>
  <c r="D115" i="3" s="1"/>
  <c r="B115" i="3"/>
  <c r="A116" i="3"/>
  <c r="D116" i="3" s="1"/>
  <c r="B116" i="3"/>
  <c r="A117" i="3"/>
  <c r="D117" i="3" s="1"/>
  <c r="B117" i="3"/>
  <c r="A118" i="3"/>
  <c r="D118" i="3" s="1"/>
  <c r="B118" i="3"/>
  <c r="A119" i="3"/>
  <c r="D119" i="3" s="1"/>
  <c r="B119" i="3"/>
  <c r="A120" i="3"/>
  <c r="D120" i="3" s="1"/>
  <c r="B120" i="3"/>
  <c r="A121" i="3"/>
  <c r="D121" i="3" s="1"/>
  <c r="B121" i="3"/>
  <c r="A122" i="3"/>
  <c r="D122" i="3" s="1"/>
  <c r="B122" i="3"/>
  <c r="A123" i="3"/>
  <c r="D123" i="3" s="1"/>
  <c r="B123" i="3"/>
  <c r="A124" i="3"/>
  <c r="D124" i="3" s="1"/>
  <c r="B124" i="3"/>
  <c r="A125" i="3"/>
  <c r="D125" i="3" s="1"/>
  <c r="B125" i="3"/>
  <c r="A126" i="3"/>
  <c r="D126" i="3" s="1"/>
  <c r="B126" i="3"/>
  <c r="A127" i="3"/>
  <c r="D127" i="3" s="1"/>
  <c r="B127" i="3"/>
  <c r="A128" i="3"/>
  <c r="D128" i="3" s="1"/>
  <c r="B128" i="3"/>
  <c r="A129" i="3"/>
  <c r="D129" i="3" s="1"/>
  <c r="B129" i="3"/>
  <c r="A130" i="3"/>
  <c r="D130" i="3" s="1"/>
  <c r="B130" i="3"/>
  <c r="A131" i="3"/>
  <c r="D131" i="3" s="1"/>
  <c r="B131" i="3"/>
  <c r="A132" i="3"/>
  <c r="D132" i="3" s="1"/>
  <c r="B132" i="3"/>
  <c r="A133" i="3"/>
  <c r="D133" i="3" s="1"/>
  <c r="B133" i="3"/>
  <c r="A134" i="3"/>
  <c r="D134" i="3" s="1"/>
  <c r="B134" i="3"/>
  <c r="A135" i="3"/>
  <c r="D135" i="3" s="1"/>
  <c r="B135" i="3"/>
  <c r="A136" i="3"/>
  <c r="D136" i="3" s="1"/>
  <c r="B136" i="3"/>
  <c r="A137" i="3"/>
  <c r="D137" i="3" s="1"/>
  <c r="B137" i="3"/>
  <c r="A138" i="3"/>
  <c r="D138" i="3" s="1"/>
  <c r="B138" i="3"/>
  <c r="A139" i="3"/>
  <c r="D139" i="3" s="1"/>
  <c r="B139" i="3"/>
  <c r="A140" i="3"/>
  <c r="D140" i="3" s="1"/>
  <c r="B140" i="3"/>
  <c r="A141" i="3"/>
  <c r="D141" i="3" s="1"/>
  <c r="B141" i="3"/>
  <c r="A142" i="3"/>
  <c r="D142" i="3" s="1"/>
  <c r="B142" i="3"/>
  <c r="A143" i="3"/>
  <c r="D143" i="3" s="1"/>
  <c r="B143" i="3"/>
  <c r="A144" i="3"/>
  <c r="D144" i="3" s="1"/>
  <c r="B144" i="3"/>
  <c r="A145" i="3"/>
  <c r="D145" i="3" s="1"/>
  <c r="B145" i="3"/>
  <c r="A146" i="3"/>
  <c r="D146" i="3" s="1"/>
  <c r="B146" i="3"/>
  <c r="A147" i="3"/>
  <c r="D147" i="3" s="1"/>
  <c r="B147" i="3"/>
  <c r="A148" i="3"/>
  <c r="D148" i="3" s="1"/>
  <c r="B148" i="3"/>
  <c r="A149" i="3"/>
  <c r="D149" i="3" s="1"/>
  <c r="B149" i="3"/>
  <c r="A150" i="3"/>
  <c r="D150" i="3" s="1"/>
  <c r="B150" i="3"/>
  <c r="A151" i="3"/>
  <c r="D151" i="3" s="1"/>
  <c r="B151" i="3"/>
  <c r="A152" i="3"/>
  <c r="D152" i="3" s="1"/>
  <c r="B152" i="3"/>
  <c r="A153" i="3"/>
  <c r="D153" i="3" s="1"/>
  <c r="B153" i="3"/>
  <c r="A154" i="3"/>
  <c r="D154" i="3" s="1"/>
  <c r="B154" i="3"/>
  <c r="A155" i="3"/>
  <c r="D155" i="3" s="1"/>
  <c r="B155" i="3"/>
  <c r="A156" i="3"/>
  <c r="D156" i="3" s="1"/>
  <c r="B156" i="3"/>
  <c r="A157" i="3"/>
  <c r="D157" i="3" s="1"/>
  <c r="B157" i="3"/>
  <c r="A158" i="3"/>
  <c r="D158" i="3" s="1"/>
  <c r="B158" i="3"/>
  <c r="A159" i="3"/>
  <c r="D159" i="3" s="1"/>
  <c r="B159" i="3"/>
  <c r="A160" i="3"/>
  <c r="D160" i="3" s="1"/>
  <c r="B160" i="3"/>
  <c r="A161" i="3"/>
  <c r="D161" i="3" s="1"/>
  <c r="B161" i="3"/>
  <c r="A162" i="3"/>
  <c r="D162" i="3" s="1"/>
  <c r="B162" i="3"/>
  <c r="A163" i="3"/>
  <c r="D163" i="3" s="1"/>
  <c r="B163" i="3"/>
  <c r="A164" i="3"/>
  <c r="D164" i="3" s="1"/>
  <c r="B164" i="3"/>
  <c r="A165" i="3"/>
  <c r="D165" i="3" s="1"/>
  <c r="B165" i="3"/>
  <c r="A166" i="3"/>
  <c r="D166" i="3" s="1"/>
  <c r="B166" i="3"/>
  <c r="A167" i="3"/>
  <c r="D167" i="3" s="1"/>
  <c r="B167" i="3"/>
  <c r="A168" i="3"/>
  <c r="D168" i="3" s="1"/>
  <c r="B168" i="3"/>
  <c r="A169" i="3"/>
  <c r="D169" i="3" s="1"/>
  <c r="B169" i="3"/>
  <c r="A170" i="3"/>
  <c r="D170" i="3" s="1"/>
  <c r="B170" i="3"/>
  <c r="A171" i="3"/>
  <c r="D171" i="3" s="1"/>
  <c r="B171" i="3"/>
  <c r="A172" i="3"/>
  <c r="D172" i="3" s="1"/>
  <c r="B172" i="3"/>
  <c r="A173" i="3"/>
  <c r="D173" i="3" s="1"/>
  <c r="B173" i="3"/>
  <c r="A174" i="3"/>
  <c r="D174" i="3" s="1"/>
  <c r="B174" i="3"/>
  <c r="A175" i="3"/>
  <c r="D175" i="3" s="1"/>
  <c r="B175" i="3"/>
  <c r="A176" i="3"/>
  <c r="D176" i="3" s="1"/>
  <c r="B176" i="3"/>
  <c r="A177" i="3"/>
  <c r="D177" i="3" s="1"/>
  <c r="B177" i="3"/>
  <c r="A178" i="3"/>
  <c r="D178" i="3" s="1"/>
  <c r="B178" i="3"/>
  <c r="A179" i="3"/>
  <c r="D179" i="3" s="1"/>
  <c r="B179" i="3"/>
  <c r="A180" i="3"/>
  <c r="D180" i="3" s="1"/>
  <c r="B180" i="3"/>
  <c r="A181" i="3"/>
  <c r="D181" i="3" s="1"/>
  <c r="B181" i="3"/>
  <c r="A182" i="3"/>
  <c r="D182" i="3" s="1"/>
  <c r="B182" i="3"/>
  <c r="A183" i="3"/>
  <c r="D183" i="3" s="1"/>
  <c r="B183" i="3"/>
  <c r="A184" i="3"/>
  <c r="D184" i="3" s="1"/>
  <c r="B184" i="3"/>
  <c r="A185" i="3"/>
  <c r="D185" i="3" s="1"/>
  <c r="B185" i="3"/>
  <c r="A186" i="3"/>
  <c r="D186" i="3" s="1"/>
  <c r="B186" i="3"/>
  <c r="A187" i="3"/>
  <c r="D187" i="3" s="1"/>
  <c r="B187" i="3"/>
  <c r="A188" i="3"/>
  <c r="D188" i="3" s="1"/>
  <c r="B188" i="3"/>
  <c r="A189" i="3"/>
  <c r="D189" i="3" s="1"/>
  <c r="B189" i="3"/>
  <c r="A190" i="3"/>
  <c r="D190" i="3" s="1"/>
  <c r="B190" i="3"/>
  <c r="A191" i="3"/>
  <c r="D191" i="3" s="1"/>
  <c r="B191" i="3"/>
  <c r="A192" i="3"/>
  <c r="D192" i="3" s="1"/>
  <c r="B192" i="3"/>
  <c r="A193" i="3"/>
  <c r="D193" i="3" s="1"/>
  <c r="B193" i="3"/>
  <c r="A194" i="3"/>
  <c r="D194" i="3" s="1"/>
  <c r="B194" i="3"/>
  <c r="A195" i="3"/>
  <c r="D195" i="3" s="1"/>
  <c r="B195" i="3"/>
  <c r="A196" i="3"/>
  <c r="D196" i="3" s="1"/>
  <c r="B196" i="3"/>
  <c r="A197" i="3"/>
  <c r="D197" i="3" s="1"/>
  <c r="B197" i="3"/>
  <c r="A198" i="3"/>
  <c r="D198" i="3" s="1"/>
  <c r="B198" i="3"/>
  <c r="A199" i="3"/>
  <c r="D199" i="3" s="1"/>
  <c r="B199" i="3"/>
  <c r="A200" i="3"/>
  <c r="D200" i="3" s="1"/>
  <c r="B200" i="3"/>
  <c r="A201" i="3"/>
  <c r="D201" i="3" s="1"/>
  <c r="B201" i="3"/>
  <c r="A202" i="3"/>
  <c r="D202" i="3" s="1"/>
  <c r="B202" i="3"/>
  <c r="A203" i="3"/>
  <c r="D203" i="3" s="1"/>
  <c r="B203" i="3"/>
  <c r="A204" i="3"/>
  <c r="D204" i="3" s="1"/>
  <c r="B204" i="3"/>
  <c r="A205" i="3"/>
  <c r="D205" i="3" s="1"/>
  <c r="B205" i="3"/>
  <c r="A206" i="3"/>
  <c r="D206" i="3" s="1"/>
  <c r="B206" i="3"/>
  <c r="A207" i="3"/>
  <c r="D207" i="3" s="1"/>
  <c r="B207" i="3"/>
  <c r="A208" i="3"/>
  <c r="D208" i="3" s="1"/>
  <c r="B208" i="3"/>
  <c r="A209" i="3"/>
  <c r="D209" i="3" s="1"/>
  <c r="B209" i="3"/>
  <c r="A210" i="3"/>
  <c r="D210" i="3" s="1"/>
  <c r="B210" i="3"/>
  <c r="A211" i="3"/>
  <c r="D211" i="3" s="1"/>
  <c r="B211" i="3"/>
  <c r="A212" i="3"/>
  <c r="D212" i="3" s="1"/>
  <c r="B212" i="3"/>
  <c r="A213" i="3"/>
  <c r="D213" i="3" s="1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220" i="3"/>
  <c r="D220" i="3" s="1"/>
  <c r="B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C231" i="3" s="1"/>
  <c r="A232" i="3"/>
  <c r="D232" i="3" s="1"/>
  <c r="B232" i="3"/>
  <c r="A233" i="3"/>
  <c r="D233" i="3" s="1"/>
  <c r="B233" i="3"/>
  <c r="A234" i="3"/>
  <c r="D234" i="3" s="1"/>
  <c r="B234" i="3"/>
  <c r="A235" i="3"/>
  <c r="D235" i="3" s="1"/>
  <c r="B235" i="3"/>
  <c r="A236" i="3"/>
  <c r="D236" i="3" s="1"/>
  <c r="B236" i="3"/>
  <c r="A237" i="3"/>
  <c r="D237" i="3" s="1"/>
  <c r="B237" i="3"/>
  <c r="A238" i="3"/>
  <c r="D238" i="3" s="1"/>
  <c r="B238" i="3"/>
  <c r="A239" i="3"/>
  <c r="D239" i="3" s="1"/>
  <c r="B239" i="3"/>
  <c r="A240" i="3"/>
  <c r="D240" i="3" s="1"/>
  <c r="B240" i="3"/>
  <c r="A241" i="3"/>
  <c r="D241" i="3" s="1"/>
  <c r="B241" i="3"/>
  <c r="A242" i="3"/>
  <c r="D242" i="3" s="1"/>
  <c r="B242" i="3"/>
  <c r="A243" i="3"/>
  <c r="D243" i="3" s="1"/>
  <c r="B243" i="3"/>
  <c r="A244" i="3"/>
  <c r="D244" i="3" s="1"/>
  <c r="B244" i="3"/>
  <c r="A245" i="3"/>
  <c r="D245" i="3" s="1"/>
  <c r="B245" i="3"/>
  <c r="A246" i="3"/>
  <c r="D246" i="3" s="1"/>
  <c r="B246" i="3"/>
  <c r="A247" i="3"/>
  <c r="D247" i="3" s="1"/>
  <c r="B247" i="3"/>
  <c r="A248" i="3"/>
  <c r="D248" i="3" s="1"/>
  <c r="B248" i="3"/>
  <c r="A249" i="3"/>
  <c r="D249" i="3" s="1"/>
  <c r="B249" i="3"/>
  <c r="A250" i="3"/>
  <c r="D250" i="3" s="1"/>
  <c r="B250" i="3"/>
  <c r="A251" i="3"/>
  <c r="D251" i="3" s="1"/>
  <c r="B251" i="3"/>
  <c r="A252" i="3"/>
  <c r="D252" i="3" s="1"/>
  <c r="B252" i="3"/>
  <c r="A253" i="3"/>
  <c r="D253" i="3" s="1"/>
  <c r="B253" i="3"/>
  <c r="A254" i="3"/>
  <c r="D254" i="3" s="1"/>
  <c r="B254" i="3"/>
  <c r="A255" i="3"/>
  <c r="D255" i="3" s="1"/>
  <c r="B255" i="3"/>
  <c r="A256" i="3"/>
  <c r="D256" i="3" s="1"/>
  <c r="B256" i="3"/>
  <c r="A257" i="3"/>
  <c r="D257" i="3" s="1"/>
  <c r="B257" i="3"/>
  <c r="A258" i="3"/>
  <c r="D258" i="3" s="1"/>
  <c r="B258" i="3"/>
  <c r="A259" i="3"/>
  <c r="D259" i="3" s="1"/>
  <c r="B259" i="3"/>
  <c r="A260" i="3"/>
  <c r="D260" i="3" s="1"/>
  <c r="B260" i="3"/>
  <c r="A261" i="3"/>
  <c r="D261" i="3" s="1"/>
  <c r="B261" i="3"/>
  <c r="B20" i="3"/>
  <c r="C20" i="3" s="1"/>
  <c r="A20" i="3"/>
  <c r="B1" i="3"/>
  <c r="B12" i="3" l="1"/>
  <c r="B11" i="3"/>
  <c r="B13" i="3"/>
  <c r="D20" i="3"/>
  <c r="C232" i="3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21" i="3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A1" i="2"/>
  <c r="G25" i="3" l="1"/>
  <c r="G29" i="3"/>
  <c r="G24" i="3"/>
  <c r="G30" i="3"/>
  <c r="G26" i="3"/>
  <c r="G21" i="3"/>
  <c r="G27" i="3"/>
  <c r="G28" i="3"/>
  <c r="G31" i="3"/>
  <c r="G22" i="3"/>
  <c r="G23" i="3"/>
  <c r="G36" i="3"/>
  <c r="G33" i="3"/>
  <c r="G32" i="3"/>
  <c r="G35" i="3"/>
  <c r="G34" i="3"/>
  <c r="H32" i="3" l="1"/>
  <c r="H21" i="3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M20" i="3"/>
  <c r="H33" i="3" l="1"/>
  <c r="H34" i="3" s="1"/>
  <c r="H35" i="3" s="1"/>
  <c r="H36" i="3" s="1"/>
</calcChain>
</file>

<file path=xl/sharedStrings.xml><?xml version="1.0" encoding="utf-8"?>
<sst xmlns="http://schemas.openxmlformats.org/spreadsheetml/2006/main" count="67" uniqueCount="42">
  <si>
    <t>Month</t>
  </si>
  <si>
    <t>Year</t>
  </si>
  <si>
    <t>mm</t>
  </si>
  <si>
    <t>Monthly Rainfall (mm)</t>
  </si>
  <si>
    <t>Daily and Cumulative Rainfall (mm)</t>
  </si>
  <si>
    <t>Annual Rainfall (mm)</t>
  </si>
  <si>
    <t>Cumulative Rainfall</t>
  </si>
  <si>
    <t>Cumulative</t>
  </si>
  <si>
    <t>Notes</t>
  </si>
  <si>
    <t>Daily Rainfall</t>
  </si>
  <si>
    <t>Monthly Rainfall</t>
  </si>
  <si>
    <t>Annual Rainfall</t>
  </si>
  <si>
    <t>AD01</t>
  </si>
  <si>
    <t>ADDAX - Automatic Weather Station 1</t>
  </si>
  <si>
    <t>Date of Measurement</t>
  </si>
  <si>
    <t>Official Record Date (Same Day)</t>
  </si>
  <si>
    <t>nd</t>
  </si>
  <si>
    <t>February to December</t>
  </si>
  <si>
    <t>This data looks erroneous - totals are very much lower than elsewhere in the area.</t>
  </si>
  <si>
    <t>Year/Month</t>
  </si>
  <si>
    <t>Site Reference Number</t>
  </si>
  <si>
    <t>Site Name</t>
  </si>
  <si>
    <t>Type of Data</t>
  </si>
  <si>
    <t>Rainfall Data</t>
  </si>
  <si>
    <t>Origin</t>
  </si>
  <si>
    <t>Ownership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</si>
  <si>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</si>
  <si>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</si>
  <si>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</si>
  <si>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</si>
  <si>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</si>
  <si>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</si>
  <si>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</si>
  <si>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</si>
  <si>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nd = no data</t>
  </si>
  <si>
    <t xml:space="preserve">Other Notes: </t>
  </si>
  <si>
    <t>Addax Biosciences Envrionmental Management Team, Sierra  Leone</t>
  </si>
  <si>
    <t>Addax Biosciences</t>
  </si>
  <si>
    <t>Latitude</t>
  </si>
  <si>
    <t>Longitude</t>
  </si>
  <si>
    <t>Elevation (mASL)</t>
  </si>
  <si>
    <t>m above sea level (approximate)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</si>
</sst>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\ yyyy"/>
    <numFmt numFmtId="166" formatCode="0.00000"/>
  </numFmts>
  <fonts count="5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  <charset val="1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1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33" borderId="0" applyNumberFormat="0" applyBorder="0" applyAlignment="0" applyProtection="0"/>
    <xf numFmtId="0" fontId="26" fillId="15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7" fillId="40" borderId="0" applyNumberFormat="0" applyBorder="0" applyAlignment="0" applyProtection="0"/>
    <xf numFmtId="0" fontId="28" fillId="41" borderId="10" applyNumberFormat="0" applyAlignment="0" applyProtection="0"/>
    <xf numFmtId="0" fontId="29" fillId="42" borderId="11" applyNumberFormat="0" applyAlignment="0" applyProtection="0"/>
    <xf numFmtId="0" fontId="30" fillId="0" borderId="0" applyNumberFormat="0" applyFill="0" applyBorder="0" applyAlignment="0" applyProtection="0"/>
    <xf numFmtId="0" fontId="31" fillId="43" borderId="0" applyNumberFormat="0" applyBorder="0" applyAlignment="0" applyProtection="0"/>
    <xf numFmtId="0" fontId="32" fillId="0" borderId="12" applyNumberFormat="0" applyFill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5" fillId="44" borderId="10" applyNumberFormat="0" applyAlignment="0" applyProtection="0"/>
    <xf numFmtId="0" fontId="36" fillId="0" borderId="15" applyNumberFormat="0" applyFill="0" applyAlignment="0" applyProtection="0"/>
    <xf numFmtId="0" fontId="37" fillId="45" borderId="0" applyNumberFormat="0" applyBorder="0" applyAlignment="0" applyProtection="0"/>
    <xf numFmtId="0" fontId="7" fillId="46" borderId="16" applyNumberFormat="0" applyFont="0" applyAlignment="0" applyProtection="0"/>
    <xf numFmtId="0" fontId="38" fillId="41" borderId="17" applyNumberFormat="0" applyAlignment="0" applyProtection="0"/>
    <xf numFmtId="0" fontId="39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6" fillId="46" borderId="16" applyNumberFormat="0" applyFont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26" fillId="51" borderId="0" applyNumberFormat="0" applyBorder="0" applyAlignment="0" applyProtection="0"/>
    <xf numFmtId="0" fontId="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54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42" fillId="0" borderId="0"/>
    <xf numFmtId="0" fontId="4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" borderId="0" applyNumberFormat="0" applyBorder="0" applyAlignment="0" applyProtection="0"/>
    <xf numFmtId="0" fontId="3" fillId="48" borderId="0" applyNumberFormat="0" applyBorder="0" applyAlignment="0" applyProtection="0"/>
    <xf numFmtId="0" fontId="3" fillId="3" borderId="0" applyNumberFormat="0" applyBorder="0" applyAlignment="0" applyProtection="0"/>
    <xf numFmtId="0" fontId="3" fillId="49" borderId="0" applyNumberFormat="0" applyBorder="0" applyAlignment="0" applyProtection="0"/>
    <xf numFmtId="0" fontId="3" fillId="4" borderId="0" applyNumberFormat="0" applyBorder="0" applyAlignment="0" applyProtection="0"/>
    <xf numFmtId="0" fontId="3" fillId="52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47" fillId="0" borderId="0" applyNumberFormat="0" applyFill="0" applyBorder="0" applyAlignment="0" applyProtection="0"/>
    <xf numFmtId="0" fontId="7" fillId="0" borderId="0"/>
    <xf numFmtId="0" fontId="1" fillId="0" borderId="0"/>
    <xf numFmtId="0" fontId="49" fillId="0" borderId="0"/>
  </cellStyleXfs>
  <cellXfs count="48">
    <xf numFmtId="0" fontId="0" fillId="0" borderId="0" xfId="0"/>
    <xf numFmtId="0" fontId="43" fillId="0" borderId="0" xfId="0" applyFont="1" applyBorder="1"/>
    <xf numFmtId="0" fontId="43" fillId="0" borderId="0" xfId="0" applyFont="1" applyBorder="1" applyAlignment="1">
      <alignment horizontal="center" vertical="top" wrapText="1"/>
    </xf>
    <xf numFmtId="0" fontId="43" fillId="0" borderId="0" xfId="0" applyFont="1" applyBorder="1" applyAlignment="1">
      <alignment horizontal="center"/>
    </xf>
    <xf numFmtId="0" fontId="43" fillId="0" borderId="0" xfId="0" applyFont="1" applyBorder="1" applyAlignment="1">
      <alignment horizontal="left" vertical="top"/>
    </xf>
    <xf numFmtId="0" fontId="44" fillId="0" borderId="0" xfId="0" applyFont="1" applyBorder="1" applyAlignment="1">
      <alignment horizontal="center"/>
    </xf>
    <xf numFmtId="165" fontId="43" fillId="0" borderId="0" xfId="0" quotePrefix="1" applyNumberFormat="1" applyFont="1" applyBorder="1" applyAlignment="1">
      <alignment horizontal="center"/>
    </xf>
    <xf numFmtId="164" fontId="43" fillId="0" borderId="0" xfId="0" applyNumberFormat="1" applyFont="1" applyBorder="1"/>
    <xf numFmtId="22" fontId="43" fillId="0" borderId="0" xfId="0" applyNumberFormat="1" applyFont="1" applyBorder="1" applyAlignment="1">
      <alignment vertical="top" wrapText="1"/>
    </xf>
    <xf numFmtId="0" fontId="44" fillId="0" borderId="0" xfId="0" applyFont="1" applyBorder="1" applyAlignment="1">
      <alignment horizontal="left"/>
    </xf>
    <xf numFmtId="0" fontId="43" fillId="0" borderId="0" xfId="0" applyFont="1" applyBorder="1" applyAlignment="1">
      <alignment vertical="top"/>
    </xf>
    <xf numFmtId="164" fontId="46" fillId="0" borderId="0" xfId="0" applyNumberFormat="1" applyFont="1" applyBorder="1" applyAlignment="1">
      <alignment horizontal="center"/>
    </xf>
    <xf numFmtId="22" fontId="43" fillId="0" borderId="0" xfId="0" applyNumberFormat="1" applyFont="1" applyBorder="1" applyAlignment="1">
      <alignment horizontal="center" vertical="top" wrapText="1"/>
    </xf>
    <xf numFmtId="0" fontId="43" fillId="0" borderId="0" xfId="0" applyFont="1" applyBorder="1" applyAlignment="1">
      <alignment horizontal="center" vertical="top" textRotation="90"/>
    </xf>
    <xf numFmtId="0" fontId="44" fillId="0" borderId="0" xfId="0" applyFont="1" applyBorder="1" applyAlignment="1"/>
    <xf numFmtId="0" fontId="43" fillId="0" borderId="0" xfId="0" applyFont="1" applyBorder="1" applyAlignment="1">
      <alignment horizontal="center" vertical="top"/>
    </xf>
    <xf numFmtId="1" fontId="43" fillId="0" borderId="0" xfId="0" applyNumberFormat="1" applyFont="1" applyBorder="1" applyAlignment="1">
      <alignment horizontal="center"/>
    </xf>
    <xf numFmtId="165" fontId="43" fillId="0" borderId="0" xfId="0" applyNumberFormat="1" applyFont="1" applyBorder="1" applyAlignment="1">
      <alignment horizontal="center"/>
    </xf>
    <xf numFmtId="164" fontId="43" fillId="0" borderId="0" xfId="0" applyNumberFormat="1" applyFont="1" applyBorder="1" applyAlignment="1">
      <alignment horizontal="center" vertical="top" wrapText="1"/>
    </xf>
    <xf numFmtId="164" fontId="45" fillId="0" borderId="0" xfId="107" applyNumberFormat="1" applyFont="1" applyBorder="1" applyAlignment="1">
      <alignment horizontal="center"/>
    </xf>
    <xf numFmtId="14" fontId="43" fillId="0" borderId="0" xfId="0" applyNumberFormat="1" applyFont="1" applyBorder="1" applyAlignment="1">
      <alignment horizontal="center"/>
    </xf>
    <xf numFmtId="0" fontId="43" fillId="0" borderId="0" xfId="0" applyFont="1" applyBorder="1"/>
    <xf numFmtId="0" fontId="43" fillId="0" borderId="0" xfId="0" applyFont="1" applyBorder="1" applyAlignment="1">
      <alignment horizontal="center" vertical="top" wrapText="1"/>
    </xf>
    <xf numFmtId="164" fontId="43" fillId="0" borderId="0" xfId="0" applyNumberFormat="1" applyFont="1" applyBorder="1" applyAlignment="1">
      <alignment horizontal="center"/>
    </xf>
    <xf numFmtId="164" fontId="43" fillId="0" borderId="0" xfId="0" applyNumberFormat="1" applyFont="1" applyBorder="1" applyAlignment="1">
      <alignment horizontal="center" vertical="top" wrapText="1"/>
    </xf>
    <xf numFmtId="1" fontId="43" fillId="0" borderId="0" xfId="0" applyNumberFormat="1" applyFont="1" applyAlignment="1">
      <alignment horizontal="center"/>
    </xf>
    <xf numFmtId="0" fontId="43" fillId="0" borderId="0" xfId="0" applyFont="1" applyBorder="1" applyAlignment="1">
      <alignment horizontal="center" vertical="top" wrapText="1"/>
    </xf>
    <xf numFmtId="0" fontId="43" fillId="0" borderId="0" xfId="0" applyFont="1" applyBorder="1" applyAlignment="1">
      <alignment horizontal="left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8" fillId="0" borderId="0" xfId="211" applyFont="1" applyAlignment="1">
      <alignment horizontal="left"/>
    </xf>
    <xf numFmtId="14" fontId="43" fillId="0" borderId="0" xfId="0" applyNumberFormat="1" applyFont="1" applyAlignment="1">
      <alignment horizontal="left"/>
    </xf>
    <xf numFmtId="22" fontId="43" fillId="0" borderId="0" xfId="0" applyNumberFormat="1" applyFont="1" applyAlignment="1">
      <alignment horizontal="left" vertical="top"/>
    </xf>
    <xf numFmtId="14" fontId="44" fillId="0" borderId="0" xfId="0" applyNumberFormat="1" applyFont="1" applyBorder="1" applyAlignment="1">
      <alignment horizontal="left"/>
    </xf>
    <xf numFmtId="0" fontId="43" fillId="0" borderId="0" xfId="0" applyFont="1" applyAlignment="1">
      <alignment horizontal="left" vertical="top"/>
    </xf>
    <xf numFmtId="14" fontId="44" fillId="0" borderId="0" xfId="0" applyNumberFormat="1" applyFont="1" applyBorder="1" applyAlignment="1">
      <alignment horizontal="left" vertical="top"/>
    </xf>
    <xf numFmtId="0" fontId="44" fillId="0" borderId="0" xfId="0" applyFont="1" applyAlignment="1">
      <alignment horizontal="left" vertical="top"/>
    </xf>
    <xf numFmtId="0" fontId="48" fillId="0" borderId="0" xfId="211" applyFont="1" applyAlignment="1">
      <alignment horizontal="left" vertical="top"/>
    </xf>
    <xf numFmtId="14" fontId="43" fillId="0" borderId="0" xfId="0" applyNumberFormat="1" applyFont="1" applyAlignment="1">
      <alignment horizontal="left" vertical="top"/>
    </xf>
    <xf numFmtId="14" fontId="43" fillId="0" borderId="0" xfId="0" applyNumberFormat="1" applyFont="1" applyBorder="1" applyAlignment="1">
      <alignment horizontal="left" vertical="top"/>
    </xf>
    <xf numFmtId="0" fontId="43" fillId="0" borderId="0" xfId="0" applyFont="1" applyBorder="1" applyAlignment="1">
      <alignment horizontal="left" vertical="top" wrapText="1"/>
    </xf>
    <xf numFmtId="164" fontId="43" fillId="0" borderId="0" xfId="0" applyNumberFormat="1" applyFont="1" applyBorder="1" applyAlignment="1">
      <alignment horizontal="left" vertical="top"/>
    </xf>
    <xf numFmtId="0" fontId="43" fillId="0" borderId="0" xfId="212" applyFont="1" applyAlignment="1">
      <alignment horizontal="left"/>
    </xf>
    <xf numFmtId="0" fontId="43" fillId="0" borderId="0" xfId="212" applyFont="1" applyAlignment="1">
      <alignment horizontal="left" vertical="top"/>
    </xf>
    <xf numFmtId="0" fontId="25" fillId="0" borderId="0" xfId="0" applyFont="1" applyAlignment="1">
      <alignment horizontal="center"/>
    </xf>
    <xf numFmtId="0" fontId="44" fillId="0" borderId="0" xfId="0" applyFont="1" applyBorder="1" applyAlignment="1">
      <alignment horizontal="left" vertical="top"/>
    </xf>
    <xf numFmtId="1" fontId="43" fillId="0" borderId="0" xfId="214" applyNumberFormat="1" applyFont="1" applyFill="1" applyBorder="1" applyAlignment="1">
      <alignment horizontal="left" vertical="center"/>
    </xf>
    <xf numFmtId="166" fontId="43" fillId="0" borderId="0" xfId="214" applyNumberFormat="1" applyFont="1" applyFill="1" applyBorder="1" applyAlignment="1">
      <alignment horizontal="left" vertical="center"/>
    </xf>
  </cellXfs>
  <cellStyles count="215">
    <cellStyle name="20% - Accent1" xfId="1" builtinId="30" customBuiltin="1"/>
    <cellStyle name="20% - Accent1 2" xfId="85"/>
    <cellStyle name="20% - Accent1 2 2" xfId="142"/>
    <cellStyle name="20% - Accent1 2 3" xfId="123"/>
    <cellStyle name="20% - Accent1 2 4" xfId="191"/>
    <cellStyle name="20% - Accent1 3" xfId="43"/>
    <cellStyle name="20% - Accent1 3 2" xfId="143"/>
    <cellStyle name="20% - Accent1 3 3" xfId="110"/>
    <cellStyle name="20% - Accent1 3 4" xfId="178"/>
    <cellStyle name="20% - Accent1 4" xfId="93"/>
    <cellStyle name="20% - Accent1 4 2" xfId="163"/>
    <cellStyle name="20% - Accent1 4 3" xfId="128"/>
    <cellStyle name="20% - Accent1 4 4" xfId="196"/>
    <cellStyle name="20% - Accent2" xfId="2" builtinId="34" customBuiltin="1"/>
    <cellStyle name="20% - Accent2 2" xfId="86"/>
    <cellStyle name="20% - Accent2 2 2" xfId="144"/>
    <cellStyle name="20% - Accent2 2 3" xfId="124"/>
    <cellStyle name="20% - Accent2 2 4" xfId="192"/>
    <cellStyle name="20% - Accent2 3" xfId="44"/>
    <cellStyle name="20% - Accent2 3 2" xfId="145"/>
    <cellStyle name="20% - Accent2 3 3" xfId="111"/>
    <cellStyle name="20% - Accent2 3 4" xfId="179"/>
    <cellStyle name="20% - Accent2 4" xfId="94"/>
    <cellStyle name="20% - Accent2 4 2" xfId="165"/>
    <cellStyle name="20% - Accent2 4 3" xfId="129"/>
    <cellStyle name="20% - Accent2 4 4" xfId="197"/>
    <cellStyle name="20% - Accent3" xfId="3" builtinId="38" customBuiltin="1"/>
    <cellStyle name="20% - Accent3 2" xfId="87"/>
    <cellStyle name="20% - Accent3 2 2" xfId="146"/>
    <cellStyle name="20% - Accent3 2 3" xfId="125"/>
    <cellStyle name="20% - Accent3 2 4" xfId="193"/>
    <cellStyle name="20% - Accent3 3" xfId="45"/>
    <cellStyle name="20% - Accent3 3 2" xfId="147"/>
    <cellStyle name="20% - Accent3 3 3" xfId="112"/>
    <cellStyle name="20% - Accent3 3 4" xfId="180"/>
    <cellStyle name="20% - Accent3 4" xfId="95"/>
    <cellStyle name="20% - Accent3 4 2" xfId="167"/>
    <cellStyle name="20% - Accent3 4 3" xfId="130"/>
    <cellStyle name="20% - Accent3 4 4" xfId="198"/>
    <cellStyle name="20% - Accent4" xfId="4" builtinId="42" customBuiltin="1"/>
    <cellStyle name="20% - Accent4 2" xfId="90"/>
    <cellStyle name="20% - Accent4 2 2" xfId="148"/>
    <cellStyle name="20% - Accent4 2 3" xfId="127"/>
    <cellStyle name="20% - Accent4 2 4" xfId="195"/>
    <cellStyle name="20% - Accent4 3" xfId="46"/>
    <cellStyle name="20% - Accent4 3 2" xfId="149"/>
    <cellStyle name="20% - Accent4 3 3" xfId="113"/>
    <cellStyle name="20% - Accent4 3 4" xfId="181"/>
    <cellStyle name="20% - Accent4 4" xfId="96"/>
    <cellStyle name="20% - Accent4 4 2" xfId="169"/>
    <cellStyle name="20% - Accent4 4 3" xfId="131"/>
    <cellStyle name="20% - Accent4 4 4" xfId="199"/>
    <cellStyle name="20% - Accent5" xfId="5" builtinId="46" customBuiltin="1"/>
    <cellStyle name="20% - Accent5 2" xfId="47"/>
    <cellStyle name="20% - Accent5 2 2" xfId="150"/>
    <cellStyle name="20% - Accent5 2 3" xfId="114"/>
    <cellStyle name="20% - Accent5 2 4" xfId="182"/>
    <cellStyle name="20% - Accent5 3" xfId="97"/>
    <cellStyle name="20% - Accent5 3 2" xfId="171"/>
    <cellStyle name="20% - Accent5 3 3" xfId="132"/>
    <cellStyle name="20% - Accent5 3 4" xfId="200"/>
    <cellStyle name="20% - Accent6" xfId="6" builtinId="50" customBuiltin="1"/>
    <cellStyle name="20% - Accent6 2" xfId="48"/>
    <cellStyle name="20% - Accent6 2 2" xfId="151"/>
    <cellStyle name="20% - Accent6 2 3" xfId="115"/>
    <cellStyle name="20% - Accent6 2 4" xfId="183"/>
    <cellStyle name="20% - Accent6 3" xfId="98"/>
    <cellStyle name="20% - Accent6 3 2" xfId="173"/>
    <cellStyle name="20% - Accent6 3 3" xfId="133"/>
    <cellStyle name="20% - Accent6 3 4" xfId="201"/>
    <cellStyle name="40% - Accent1" xfId="7" builtinId="31" customBuiltin="1"/>
    <cellStyle name="40% - Accent1 2" xfId="49"/>
    <cellStyle name="40% - Accent1 2 2" xfId="152"/>
    <cellStyle name="40% - Accent1 2 3" xfId="116"/>
    <cellStyle name="40% - Accent1 2 4" xfId="184"/>
    <cellStyle name="40% - Accent1 3" xfId="99"/>
    <cellStyle name="40% - Accent1 3 2" xfId="164"/>
    <cellStyle name="40% - Accent1 3 3" xfId="134"/>
    <cellStyle name="40% - Accent1 3 4" xfId="202"/>
    <cellStyle name="40% - Accent2" xfId="8" builtinId="35" customBuiltin="1"/>
    <cellStyle name="40% - Accent2 2" xfId="50"/>
    <cellStyle name="40% - Accent2 2 2" xfId="153"/>
    <cellStyle name="40% - Accent2 2 3" xfId="117"/>
    <cellStyle name="40% - Accent2 2 4" xfId="185"/>
    <cellStyle name="40% - Accent2 3" xfId="100"/>
    <cellStyle name="40% - Accent2 3 2" xfId="166"/>
    <cellStyle name="40% - Accent2 3 3" xfId="135"/>
    <cellStyle name="40% - Accent2 3 4" xfId="203"/>
    <cellStyle name="40% - Accent3" xfId="9" builtinId="39" customBuiltin="1"/>
    <cellStyle name="40% - Accent3 2" xfId="88"/>
    <cellStyle name="40% - Accent3 2 2" xfId="154"/>
    <cellStyle name="40% - Accent3 2 3" xfId="126"/>
    <cellStyle name="40% - Accent3 2 4" xfId="194"/>
    <cellStyle name="40% - Accent3 3" xfId="51"/>
    <cellStyle name="40% - Accent3 3 2" xfId="155"/>
    <cellStyle name="40% - Accent3 3 3" xfId="118"/>
    <cellStyle name="40% - Accent3 3 4" xfId="186"/>
    <cellStyle name="40% - Accent3 4" xfId="101"/>
    <cellStyle name="40% - Accent3 4 2" xfId="168"/>
    <cellStyle name="40% - Accent3 4 3" xfId="136"/>
    <cellStyle name="40% - Accent3 4 4" xfId="204"/>
    <cellStyle name="40% - Accent4" xfId="10" builtinId="43" customBuiltin="1"/>
    <cellStyle name="40% - Accent4 2" xfId="52"/>
    <cellStyle name="40% - Accent4 2 2" xfId="156"/>
    <cellStyle name="40% - Accent4 2 3" xfId="119"/>
    <cellStyle name="40% - Accent4 2 4" xfId="187"/>
    <cellStyle name="40% - Accent4 3" xfId="102"/>
    <cellStyle name="40% - Accent4 3 2" xfId="170"/>
    <cellStyle name="40% - Accent4 3 3" xfId="137"/>
    <cellStyle name="40% - Accent4 3 4" xfId="205"/>
    <cellStyle name="40% - Accent5" xfId="11" builtinId="47" customBuiltin="1"/>
    <cellStyle name="40% - Accent5 2" xfId="53"/>
    <cellStyle name="40% - Accent5 2 2" xfId="157"/>
    <cellStyle name="40% - Accent5 2 3" xfId="120"/>
    <cellStyle name="40% - Accent5 2 4" xfId="188"/>
    <cellStyle name="40% - Accent5 3" xfId="103"/>
    <cellStyle name="40% - Accent5 3 2" xfId="172"/>
    <cellStyle name="40% - Accent5 3 3" xfId="138"/>
    <cellStyle name="40% - Accent5 3 4" xfId="206"/>
    <cellStyle name="40% - Accent6" xfId="12" builtinId="51" customBuiltin="1"/>
    <cellStyle name="40% - Accent6 2" xfId="54"/>
    <cellStyle name="40% - Accent6 2 2" xfId="158"/>
    <cellStyle name="40% - Accent6 2 3" xfId="121"/>
    <cellStyle name="40% - Accent6 2 4" xfId="189"/>
    <cellStyle name="40% - Accent6 3" xfId="104"/>
    <cellStyle name="40% - Accent6 3 2" xfId="174"/>
    <cellStyle name="40% - Accent6 3 3" xfId="139"/>
    <cellStyle name="40% - Accent6 3 4" xfId="207"/>
    <cellStyle name="60% - Accent1" xfId="13" builtinId="32" customBuiltin="1"/>
    <cellStyle name="60% - Accent1 2" xfId="55"/>
    <cellStyle name="60% - Accent2" xfId="14" builtinId="36" customBuiltin="1"/>
    <cellStyle name="60% - Accent2 2" xfId="56"/>
    <cellStyle name="60% - Accent3" xfId="15" builtinId="40" customBuiltin="1"/>
    <cellStyle name="60% - Accent3 2" xfId="89"/>
    <cellStyle name="60% - Accent3 3" xfId="57"/>
    <cellStyle name="60% - Accent4" xfId="16" builtinId="44" customBuiltin="1"/>
    <cellStyle name="60% - Accent4 2" xfId="91"/>
    <cellStyle name="60% - Accent4 3" xfId="58"/>
    <cellStyle name="60% - Accent5" xfId="17" builtinId="48" customBuiltin="1"/>
    <cellStyle name="60% - Accent5 2" xfId="59"/>
    <cellStyle name="60% - Accent6" xfId="18" builtinId="52" customBuiltin="1"/>
    <cellStyle name="60% - Accent6 2" xfId="92"/>
    <cellStyle name="60% - Accent6 3" xfId="60"/>
    <cellStyle name="Accent1" xfId="19" builtinId="29" customBuiltin="1"/>
    <cellStyle name="Accent1 2" xfId="61"/>
    <cellStyle name="Accent2" xfId="20" builtinId="33" customBuiltin="1"/>
    <cellStyle name="Accent2 2" xfId="62"/>
    <cellStyle name="Accent3" xfId="21" builtinId="37" customBuiltin="1"/>
    <cellStyle name="Accent3 2" xfId="63"/>
    <cellStyle name="Accent4" xfId="22" builtinId="41" customBuiltin="1"/>
    <cellStyle name="Accent4 2" xfId="64"/>
    <cellStyle name="Accent5" xfId="23" builtinId="45" customBuiltin="1"/>
    <cellStyle name="Accent5 2" xfId="65"/>
    <cellStyle name="Accent6" xfId="24" builtinId="49" customBuiltin="1"/>
    <cellStyle name="Accent6 2" xfId="66"/>
    <cellStyle name="Bad" xfId="25" builtinId="27" customBuiltin="1"/>
    <cellStyle name="Bad 2" xfId="67"/>
    <cellStyle name="Calculation" xfId="26" builtinId="22" customBuiltin="1"/>
    <cellStyle name="Calculation 2" xfId="68"/>
    <cellStyle name="Check Cell" xfId="27" builtinId="23" customBuiltin="1"/>
    <cellStyle name="Check Cell 2" xfId="69"/>
    <cellStyle name="Excel Built-in Normal" xfId="107"/>
    <cellStyle name="Explanatory Text" xfId="28" builtinId="53" customBuiltin="1"/>
    <cellStyle name="Explanatory Text 2" xfId="70"/>
    <cellStyle name="Good" xfId="29" builtinId="26" customBuiltin="1"/>
    <cellStyle name="Good 2" xfId="71"/>
    <cellStyle name="Heading 1" xfId="30" builtinId="16" customBuiltin="1"/>
    <cellStyle name="Heading 1 2" xfId="72"/>
    <cellStyle name="Heading 2" xfId="31" builtinId="17" customBuiltin="1"/>
    <cellStyle name="Heading 2 2" xfId="73"/>
    <cellStyle name="Heading 3" xfId="32" builtinId="18" customBuiltin="1"/>
    <cellStyle name="Heading 3 2" xfId="74"/>
    <cellStyle name="Heading 4" xfId="33" builtinId="19" customBuiltin="1"/>
    <cellStyle name="Heading 4 2" xfId="75"/>
    <cellStyle name="Hyperlink" xfId="211" builtinId="8"/>
    <cellStyle name="Input" xfId="34" builtinId="20" customBuiltin="1"/>
    <cellStyle name="Input 2" xfId="76"/>
    <cellStyle name="Linked Cell" xfId="35" builtinId="24" customBuiltin="1"/>
    <cellStyle name="Linked Cell 2" xfId="77"/>
    <cellStyle name="Neutral" xfId="36" builtinId="28" customBuiltin="1"/>
    <cellStyle name="Neutral 2" xfId="78"/>
    <cellStyle name="Normal" xfId="0" builtinId="0"/>
    <cellStyle name="Normal 11" xfId="212"/>
    <cellStyle name="Normal 2" xfId="42"/>
    <cellStyle name="Normal 2 2" xfId="176"/>
    <cellStyle name="Normal 2 3" xfId="159"/>
    <cellStyle name="Normal 2 4" xfId="109"/>
    <cellStyle name="Normal 2 5" xfId="177"/>
    <cellStyle name="Normal 3" xfId="105"/>
    <cellStyle name="Normal 3 2" xfId="161"/>
    <cellStyle name="Normal 3 3" xfId="140"/>
    <cellStyle name="Normal 3 4" xfId="208"/>
    <cellStyle name="Normal 4" xfId="210"/>
    <cellStyle name="Normal 5" xfId="108"/>
    <cellStyle name="Normal 5 2" xfId="175"/>
    <cellStyle name="Normal 6" xfId="213"/>
    <cellStyle name="Normal_Sheet1" xfId="214"/>
    <cellStyle name="Note" xfId="37" builtinId="10" customBuiltin="1"/>
    <cellStyle name="Note 2" xfId="84"/>
    <cellStyle name="Note 2 2" xfId="160"/>
    <cellStyle name="Note 2 3" xfId="122"/>
    <cellStyle name="Note 2 4" xfId="190"/>
    <cellStyle name="Note 3" xfId="79"/>
    <cellStyle name="Note 4" xfId="106"/>
    <cellStyle name="Note 4 2" xfId="162"/>
    <cellStyle name="Note 4 3" xfId="141"/>
    <cellStyle name="Note 4 4" xfId="209"/>
    <cellStyle name="Output" xfId="38" builtinId="21" customBuiltin="1"/>
    <cellStyle name="Output 2" xfId="80"/>
    <cellStyle name="Title" xfId="39" builtinId="15" customBuiltin="1"/>
    <cellStyle name="Title 2" xfId="81"/>
    <cellStyle name="Total" xfId="40" builtinId="25" customBuiltin="1"/>
    <cellStyle name="Total 2" xfId="82"/>
    <cellStyle name="Warning Text" xfId="41" builtinId="11" customBuiltin="1"/>
    <cellStyle name="Warning Text 2" xfId="8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7980879333088546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Totals'!$B$18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Totals'!$A$20:$A$1011</c:f>
              <c:numCache>
                <c:formatCode>m/d/yyyy</c:formatCode>
                <c:ptCount val="992"/>
                <c:pt idx="0">
                  <c:v>41312</c:v>
                </c:pt>
                <c:pt idx="1">
                  <c:v>41313</c:v>
                </c:pt>
                <c:pt idx="2">
                  <c:v>41314</c:v>
                </c:pt>
                <c:pt idx="3">
                  <c:v>41315</c:v>
                </c:pt>
                <c:pt idx="4">
                  <c:v>41316</c:v>
                </c:pt>
                <c:pt idx="5">
                  <c:v>41317</c:v>
                </c:pt>
                <c:pt idx="6">
                  <c:v>41318</c:v>
                </c:pt>
                <c:pt idx="7">
                  <c:v>41319</c:v>
                </c:pt>
                <c:pt idx="8">
                  <c:v>41320</c:v>
                </c:pt>
                <c:pt idx="9">
                  <c:v>41321</c:v>
                </c:pt>
                <c:pt idx="10">
                  <c:v>41322</c:v>
                </c:pt>
                <c:pt idx="11">
                  <c:v>41323</c:v>
                </c:pt>
                <c:pt idx="12">
                  <c:v>41324</c:v>
                </c:pt>
                <c:pt idx="13">
                  <c:v>41325</c:v>
                </c:pt>
                <c:pt idx="14">
                  <c:v>41326</c:v>
                </c:pt>
                <c:pt idx="15">
                  <c:v>41327</c:v>
                </c:pt>
                <c:pt idx="16">
                  <c:v>41328</c:v>
                </c:pt>
                <c:pt idx="17">
                  <c:v>41329</c:v>
                </c:pt>
                <c:pt idx="18">
                  <c:v>41330</c:v>
                </c:pt>
                <c:pt idx="19">
                  <c:v>41331</c:v>
                </c:pt>
                <c:pt idx="20">
                  <c:v>41332</c:v>
                </c:pt>
                <c:pt idx="21">
                  <c:v>41333</c:v>
                </c:pt>
                <c:pt idx="22">
                  <c:v>41334</c:v>
                </c:pt>
                <c:pt idx="23">
                  <c:v>41335</c:v>
                </c:pt>
                <c:pt idx="24">
                  <c:v>41336</c:v>
                </c:pt>
                <c:pt idx="25">
                  <c:v>41337</c:v>
                </c:pt>
                <c:pt idx="26">
                  <c:v>41338</c:v>
                </c:pt>
                <c:pt idx="27">
                  <c:v>41339</c:v>
                </c:pt>
                <c:pt idx="28">
                  <c:v>41340</c:v>
                </c:pt>
                <c:pt idx="29">
                  <c:v>41341</c:v>
                </c:pt>
                <c:pt idx="30">
                  <c:v>41342</c:v>
                </c:pt>
                <c:pt idx="31">
                  <c:v>41343</c:v>
                </c:pt>
                <c:pt idx="32">
                  <c:v>41344</c:v>
                </c:pt>
                <c:pt idx="33">
                  <c:v>41345</c:v>
                </c:pt>
                <c:pt idx="34">
                  <c:v>41346</c:v>
                </c:pt>
                <c:pt idx="35">
                  <c:v>41347</c:v>
                </c:pt>
                <c:pt idx="36">
                  <c:v>41348</c:v>
                </c:pt>
                <c:pt idx="37">
                  <c:v>41349</c:v>
                </c:pt>
                <c:pt idx="38">
                  <c:v>41350</c:v>
                </c:pt>
                <c:pt idx="39">
                  <c:v>41351</c:v>
                </c:pt>
                <c:pt idx="40">
                  <c:v>41352</c:v>
                </c:pt>
                <c:pt idx="41">
                  <c:v>41353</c:v>
                </c:pt>
                <c:pt idx="42">
                  <c:v>41354</c:v>
                </c:pt>
                <c:pt idx="43">
                  <c:v>41355</c:v>
                </c:pt>
                <c:pt idx="44">
                  <c:v>41356</c:v>
                </c:pt>
                <c:pt idx="45">
                  <c:v>41357</c:v>
                </c:pt>
                <c:pt idx="46">
                  <c:v>41358</c:v>
                </c:pt>
                <c:pt idx="47">
                  <c:v>41359</c:v>
                </c:pt>
                <c:pt idx="48">
                  <c:v>41360</c:v>
                </c:pt>
                <c:pt idx="49">
                  <c:v>41361</c:v>
                </c:pt>
                <c:pt idx="50">
                  <c:v>41362</c:v>
                </c:pt>
                <c:pt idx="51">
                  <c:v>41363</c:v>
                </c:pt>
                <c:pt idx="52">
                  <c:v>41364</c:v>
                </c:pt>
                <c:pt idx="53">
                  <c:v>41365</c:v>
                </c:pt>
                <c:pt idx="54">
                  <c:v>41366</c:v>
                </c:pt>
                <c:pt idx="55">
                  <c:v>41367</c:v>
                </c:pt>
                <c:pt idx="56">
                  <c:v>41368</c:v>
                </c:pt>
                <c:pt idx="57">
                  <c:v>41369</c:v>
                </c:pt>
                <c:pt idx="58">
                  <c:v>41370</c:v>
                </c:pt>
                <c:pt idx="59">
                  <c:v>41371</c:v>
                </c:pt>
                <c:pt idx="60">
                  <c:v>41372</c:v>
                </c:pt>
                <c:pt idx="61">
                  <c:v>41373</c:v>
                </c:pt>
                <c:pt idx="62">
                  <c:v>41374</c:v>
                </c:pt>
                <c:pt idx="63">
                  <c:v>41375</c:v>
                </c:pt>
                <c:pt idx="64">
                  <c:v>41376</c:v>
                </c:pt>
                <c:pt idx="65">
                  <c:v>41377</c:v>
                </c:pt>
                <c:pt idx="66">
                  <c:v>41378</c:v>
                </c:pt>
                <c:pt idx="67">
                  <c:v>41379</c:v>
                </c:pt>
                <c:pt idx="68">
                  <c:v>41380</c:v>
                </c:pt>
                <c:pt idx="69">
                  <c:v>41381</c:v>
                </c:pt>
                <c:pt idx="70">
                  <c:v>41382</c:v>
                </c:pt>
                <c:pt idx="71">
                  <c:v>41383</c:v>
                </c:pt>
                <c:pt idx="72">
                  <c:v>41384</c:v>
                </c:pt>
                <c:pt idx="73">
                  <c:v>41385</c:v>
                </c:pt>
                <c:pt idx="74">
                  <c:v>41386</c:v>
                </c:pt>
                <c:pt idx="75">
                  <c:v>41387</c:v>
                </c:pt>
                <c:pt idx="76">
                  <c:v>41388</c:v>
                </c:pt>
                <c:pt idx="77">
                  <c:v>41389</c:v>
                </c:pt>
                <c:pt idx="78">
                  <c:v>41390</c:v>
                </c:pt>
                <c:pt idx="79">
                  <c:v>41391</c:v>
                </c:pt>
                <c:pt idx="80">
                  <c:v>41392</c:v>
                </c:pt>
                <c:pt idx="81">
                  <c:v>41393</c:v>
                </c:pt>
                <c:pt idx="82">
                  <c:v>41394</c:v>
                </c:pt>
                <c:pt idx="83">
                  <c:v>41395</c:v>
                </c:pt>
                <c:pt idx="84">
                  <c:v>41396</c:v>
                </c:pt>
                <c:pt idx="85">
                  <c:v>41397</c:v>
                </c:pt>
                <c:pt idx="86">
                  <c:v>41398</c:v>
                </c:pt>
                <c:pt idx="87">
                  <c:v>41399</c:v>
                </c:pt>
                <c:pt idx="88">
                  <c:v>41400</c:v>
                </c:pt>
                <c:pt idx="89">
                  <c:v>41401</c:v>
                </c:pt>
                <c:pt idx="90">
                  <c:v>41402</c:v>
                </c:pt>
                <c:pt idx="91">
                  <c:v>41403</c:v>
                </c:pt>
                <c:pt idx="92">
                  <c:v>41404</c:v>
                </c:pt>
                <c:pt idx="93">
                  <c:v>41405</c:v>
                </c:pt>
                <c:pt idx="94">
                  <c:v>41406</c:v>
                </c:pt>
                <c:pt idx="95">
                  <c:v>41407</c:v>
                </c:pt>
                <c:pt idx="96">
                  <c:v>41408</c:v>
                </c:pt>
                <c:pt idx="97">
                  <c:v>41409</c:v>
                </c:pt>
                <c:pt idx="98">
                  <c:v>41410</c:v>
                </c:pt>
                <c:pt idx="99">
                  <c:v>41411</c:v>
                </c:pt>
                <c:pt idx="100">
                  <c:v>41412</c:v>
                </c:pt>
                <c:pt idx="101">
                  <c:v>41413</c:v>
                </c:pt>
                <c:pt idx="102">
                  <c:v>41414</c:v>
                </c:pt>
                <c:pt idx="103">
                  <c:v>41415</c:v>
                </c:pt>
                <c:pt idx="104">
                  <c:v>41416</c:v>
                </c:pt>
                <c:pt idx="105">
                  <c:v>41417</c:v>
                </c:pt>
                <c:pt idx="106">
                  <c:v>41418</c:v>
                </c:pt>
                <c:pt idx="107">
                  <c:v>41419</c:v>
                </c:pt>
                <c:pt idx="108">
                  <c:v>41420</c:v>
                </c:pt>
                <c:pt idx="109">
                  <c:v>41421</c:v>
                </c:pt>
                <c:pt idx="110">
                  <c:v>41422</c:v>
                </c:pt>
                <c:pt idx="111">
                  <c:v>41423</c:v>
                </c:pt>
                <c:pt idx="112">
                  <c:v>41424</c:v>
                </c:pt>
                <c:pt idx="113">
                  <c:v>41425</c:v>
                </c:pt>
                <c:pt idx="114">
                  <c:v>41426</c:v>
                </c:pt>
                <c:pt idx="115">
                  <c:v>41427</c:v>
                </c:pt>
                <c:pt idx="116">
                  <c:v>41428</c:v>
                </c:pt>
                <c:pt idx="117">
                  <c:v>41429</c:v>
                </c:pt>
                <c:pt idx="118">
                  <c:v>41430</c:v>
                </c:pt>
                <c:pt idx="119">
                  <c:v>41431</c:v>
                </c:pt>
                <c:pt idx="120">
                  <c:v>41432</c:v>
                </c:pt>
                <c:pt idx="121">
                  <c:v>41433</c:v>
                </c:pt>
                <c:pt idx="122">
                  <c:v>41434</c:v>
                </c:pt>
                <c:pt idx="123">
                  <c:v>41435</c:v>
                </c:pt>
                <c:pt idx="124">
                  <c:v>41436</c:v>
                </c:pt>
                <c:pt idx="125">
                  <c:v>41437</c:v>
                </c:pt>
                <c:pt idx="126">
                  <c:v>41438</c:v>
                </c:pt>
                <c:pt idx="127">
                  <c:v>41439</c:v>
                </c:pt>
                <c:pt idx="128">
                  <c:v>41440</c:v>
                </c:pt>
                <c:pt idx="129">
                  <c:v>41441</c:v>
                </c:pt>
                <c:pt idx="130">
                  <c:v>41442</c:v>
                </c:pt>
                <c:pt idx="131">
                  <c:v>41443</c:v>
                </c:pt>
                <c:pt idx="132">
                  <c:v>41444</c:v>
                </c:pt>
                <c:pt idx="133">
                  <c:v>41445</c:v>
                </c:pt>
                <c:pt idx="134">
                  <c:v>41446</c:v>
                </c:pt>
                <c:pt idx="135">
                  <c:v>41447</c:v>
                </c:pt>
                <c:pt idx="136">
                  <c:v>41448</c:v>
                </c:pt>
                <c:pt idx="137">
                  <c:v>41449</c:v>
                </c:pt>
                <c:pt idx="138">
                  <c:v>41450</c:v>
                </c:pt>
                <c:pt idx="139">
                  <c:v>41451</c:v>
                </c:pt>
                <c:pt idx="140">
                  <c:v>41452</c:v>
                </c:pt>
                <c:pt idx="141">
                  <c:v>41453</c:v>
                </c:pt>
                <c:pt idx="142">
                  <c:v>41454</c:v>
                </c:pt>
                <c:pt idx="143">
                  <c:v>41455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41459</c:v>
                </c:pt>
                <c:pt idx="148">
                  <c:v>41460</c:v>
                </c:pt>
                <c:pt idx="149">
                  <c:v>41461</c:v>
                </c:pt>
                <c:pt idx="150">
                  <c:v>41462</c:v>
                </c:pt>
                <c:pt idx="151">
                  <c:v>41463</c:v>
                </c:pt>
                <c:pt idx="152">
                  <c:v>41464</c:v>
                </c:pt>
                <c:pt idx="153">
                  <c:v>41465</c:v>
                </c:pt>
                <c:pt idx="154">
                  <c:v>41466</c:v>
                </c:pt>
                <c:pt idx="155">
                  <c:v>41467</c:v>
                </c:pt>
                <c:pt idx="156">
                  <c:v>41468</c:v>
                </c:pt>
                <c:pt idx="157">
                  <c:v>41469</c:v>
                </c:pt>
                <c:pt idx="158">
                  <c:v>41470</c:v>
                </c:pt>
                <c:pt idx="159">
                  <c:v>41471</c:v>
                </c:pt>
                <c:pt idx="160">
                  <c:v>41472</c:v>
                </c:pt>
                <c:pt idx="161">
                  <c:v>41473</c:v>
                </c:pt>
                <c:pt idx="162">
                  <c:v>41474</c:v>
                </c:pt>
                <c:pt idx="163">
                  <c:v>41475</c:v>
                </c:pt>
                <c:pt idx="164">
                  <c:v>41476</c:v>
                </c:pt>
                <c:pt idx="165">
                  <c:v>41477</c:v>
                </c:pt>
                <c:pt idx="166">
                  <c:v>41478</c:v>
                </c:pt>
                <c:pt idx="167">
                  <c:v>41479</c:v>
                </c:pt>
                <c:pt idx="168">
                  <c:v>41480</c:v>
                </c:pt>
                <c:pt idx="169">
                  <c:v>41481</c:v>
                </c:pt>
                <c:pt idx="170">
                  <c:v>41482</c:v>
                </c:pt>
                <c:pt idx="171">
                  <c:v>41483</c:v>
                </c:pt>
                <c:pt idx="172">
                  <c:v>41484</c:v>
                </c:pt>
                <c:pt idx="173">
                  <c:v>41485</c:v>
                </c:pt>
                <c:pt idx="174">
                  <c:v>41486</c:v>
                </c:pt>
                <c:pt idx="175">
                  <c:v>41487</c:v>
                </c:pt>
                <c:pt idx="176">
                  <c:v>41488</c:v>
                </c:pt>
                <c:pt idx="177">
                  <c:v>41489</c:v>
                </c:pt>
                <c:pt idx="178">
                  <c:v>41490</c:v>
                </c:pt>
                <c:pt idx="179">
                  <c:v>41491</c:v>
                </c:pt>
                <c:pt idx="180">
                  <c:v>41492</c:v>
                </c:pt>
                <c:pt idx="181">
                  <c:v>41493</c:v>
                </c:pt>
                <c:pt idx="182">
                  <c:v>41494</c:v>
                </c:pt>
                <c:pt idx="183">
                  <c:v>41495</c:v>
                </c:pt>
                <c:pt idx="184">
                  <c:v>41496</c:v>
                </c:pt>
                <c:pt idx="185">
                  <c:v>41497</c:v>
                </c:pt>
                <c:pt idx="186">
                  <c:v>41498</c:v>
                </c:pt>
                <c:pt idx="187">
                  <c:v>41499</c:v>
                </c:pt>
                <c:pt idx="188">
                  <c:v>41500</c:v>
                </c:pt>
                <c:pt idx="189">
                  <c:v>41501</c:v>
                </c:pt>
                <c:pt idx="190">
                  <c:v>41502</c:v>
                </c:pt>
                <c:pt idx="191">
                  <c:v>41503</c:v>
                </c:pt>
                <c:pt idx="192">
                  <c:v>41504</c:v>
                </c:pt>
                <c:pt idx="193">
                  <c:v>41505</c:v>
                </c:pt>
                <c:pt idx="194">
                  <c:v>41506</c:v>
                </c:pt>
                <c:pt idx="195">
                  <c:v>41507</c:v>
                </c:pt>
                <c:pt idx="196">
                  <c:v>41508</c:v>
                </c:pt>
                <c:pt idx="197">
                  <c:v>41509</c:v>
                </c:pt>
                <c:pt idx="198">
                  <c:v>41510</c:v>
                </c:pt>
                <c:pt idx="199">
                  <c:v>41511</c:v>
                </c:pt>
                <c:pt idx="200">
                  <c:v>41512</c:v>
                </c:pt>
                <c:pt idx="201">
                  <c:v>41513</c:v>
                </c:pt>
                <c:pt idx="202">
                  <c:v>41514</c:v>
                </c:pt>
                <c:pt idx="203">
                  <c:v>41515</c:v>
                </c:pt>
                <c:pt idx="204">
                  <c:v>41516</c:v>
                </c:pt>
                <c:pt idx="205">
                  <c:v>41517</c:v>
                </c:pt>
                <c:pt idx="206">
                  <c:v>41518</c:v>
                </c:pt>
                <c:pt idx="207">
                  <c:v>41519</c:v>
                </c:pt>
                <c:pt idx="208">
                  <c:v>41520</c:v>
                </c:pt>
                <c:pt idx="209">
                  <c:v>41521</c:v>
                </c:pt>
                <c:pt idx="210">
                  <c:v>41522</c:v>
                </c:pt>
                <c:pt idx="211">
                  <c:v>41523</c:v>
                </c:pt>
                <c:pt idx="212">
                  <c:v>41524</c:v>
                </c:pt>
                <c:pt idx="213">
                  <c:v>41525</c:v>
                </c:pt>
                <c:pt idx="214">
                  <c:v>41526</c:v>
                </c:pt>
                <c:pt idx="215">
                  <c:v>41527</c:v>
                </c:pt>
                <c:pt idx="216">
                  <c:v>41528</c:v>
                </c:pt>
                <c:pt idx="217">
                  <c:v>41529</c:v>
                </c:pt>
                <c:pt idx="218">
                  <c:v>41530</c:v>
                </c:pt>
                <c:pt idx="219">
                  <c:v>41531</c:v>
                </c:pt>
                <c:pt idx="220">
                  <c:v>41532</c:v>
                </c:pt>
                <c:pt idx="221">
                  <c:v>41533</c:v>
                </c:pt>
                <c:pt idx="222">
                  <c:v>41534</c:v>
                </c:pt>
                <c:pt idx="223">
                  <c:v>41535</c:v>
                </c:pt>
                <c:pt idx="224">
                  <c:v>41536</c:v>
                </c:pt>
                <c:pt idx="225">
                  <c:v>41537</c:v>
                </c:pt>
                <c:pt idx="226">
                  <c:v>41538</c:v>
                </c:pt>
                <c:pt idx="227">
                  <c:v>41539</c:v>
                </c:pt>
                <c:pt idx="228">
                  <c:v>41540</c:v>
                </c:pt>
                <c:pt idx="229">
                  <c:v>41541</c:v>
                </c:pt>
                <c:pt idx="230">
                  <c:v>41542</c:v>
                </c:pt>
                <c:pt idx="231">
                  <c:v>41543</c:v>
                </c:pt>
                <c:pt idx="232">
                  <c:v>41544</c:v>
                </c:pt>
                <c:pt idx="233">
                  <c:v>41545</c:v>
                </c:pt>
                <c:pt idx="234">
                  <c:v>41546</c:v>
                </c:pt>
                <c:pt idx="235">
                  <c:v>41547</c:v>
                </c:pt>
                <c:pt idx="236">
                  <c:v>41548</c:v>
                </c:pt>
                <c:pt idx="237">
                  <c:v>41549</c:v>
                </c:pt>
                <c:pt idx="238">
                  <c:v>41550</c:v>
                </c:pt>
                <c:pt idx="239">
                  <c:v>41551</c:v>
                </c:pt>
                <c:pt idx="240">
                  <c:v>41552</c:v>
                </c:pt>
                <c:pt idx="241">
                  <c:v>41553</c:v>
                </c:pt>
                <c:pt idx="242">
                  <c:v>41554</c:v>
                </c:pt>
                <c:pt idx="243">
                  <c:v>41555</c:v>
                </c:pt>
                <c:pt idx="244">
                  <c:v>41556</c:v>
                </c:pt>
                <c:pt idx="245">
                  <c:v>41557</c:v>
                </c:pt>
                <c:pt idx="246">
                  <c:v>41558</c:v>
                </c:pt>
                <c:pt idx="247">
                  <c:v>41559</c:v>
                </c:pt>
                <c:pt idx="248">
                  <c:v>41560</c:v>
                </c:pt>
                <c:pt idx="249">
                  <c:v>41561</c:v>
                </c:pt>
                <c:pt idx="250">
                  <c:v>41562</c:v>
                </c:pt>
                <c:pt idx="251">
                  <c:v>41563</c:v>
                </c:pt>
                <c:pt idx="252">
                  <c:v>41564</c:v>
                </c:pt>
                <c:pt idx="253">
                  <c:v>41565</c:v>
                </c:pt>
                <c:pt idx="254">
                  <c:v>41566</c:v>
                </c:pt>
                <c:pt idx="255">
                  <c:v>41567</c:v>
                </c:pt>
                <c:pt idx="256">
                  <c:v>41568</c:v>
                </c:pt>
                <c:pt idx="257">
                  <c:v>41569</c:v>
                </c:pt>
                <c:pt idx="258">
                  <c:v>41570</c:v>
                </c:pt>
                <c:pt idx="259">
                  <c:v>41571</c:v>
                </c:pt>
                <c:pt idx="260">
                  <c:v>41572</c:v>
                </c:pt>
                <c:pt idx="261">
                  <c:v>41573</c:v>
                </c:pt>
                <c:pt idx="262">
                  <c:v>41574</c:v>
                </c:pt>
                <c:pt idx="263">
                  <c:v>41575</c:v>
                </c:pt>
                <c:pt idx="264">
                  <c:v>41576</c:v>
                </c:pt>
                <c:pt idx="265">
                  <c:v>41577</c:v>
                </c:pt>
                <c:pt idx="266">
                  <c:v>41578</c:v>
                </c:pt>
                <c:pt idx="267">
                  <c:v>41579</c:v>
                </c:pt>
                <c:pt idx="268">
                  <c:v>41580</c:v>
                </c:pt>
                <c:pt idx="269">
                  <c:v>41581</c:v>
                </c:pt>
                <c:pt idx="270">
                  <c:v>41582</c:v>
                </c:pt>
                <c:pt idx="271">
                  <c:v>41583</c:v>
                </c:pt>
                <c:pt idx="272">
                  <c:v>41584</c:v>
                </c:pt>
                <c:pt idx="273">
                  <c:v>41585</c:v>
                </c:pt>
                <c:pt idx="274">
                  <c:v>41586</c:v>
                </c:pt>
                <c:pt idx="275">
                  <c:v>41587</c:v>
                </c:pt>
                <c:pt idx="276">
                  <c:v>41588</c:v>
                </c:pt>
                <c:pt idx="277">
                  <c:v>41589</c:v>
                </c:pt>
                <c:pt idx="278">
                  <c:v>41590</c:v>
                </c:pt>
                <c:pt idx="279">
                  <c:v>41591</c:v>
                </c:pt>
                <c:pt idx="280">
                  <c:v>41592</c:v>
                </c:pt>
                <c:pt idx="281">
                  <c:v>41593</c:v>
                </c:pt>
                <c:pt idx="282">
                  <c:v>41594</c:v>
                </c:pt>
                <c:pt idx="283">
                  <c:v>41595</c:v>
                </c:pt>
                <c:pt idx="284">
                  <c:v>41596</c:v>
                </c:pt>
                <c:pt idx="285">
                  <c:v>41597</c:v>
                </c:pt>
                <c:pt idx="286">
                  <c:v>41598</c:v>
                </c:pt>
                <c:pt idx="287">
                  <c:v>41599</c:v>
                </c:pt>
                <c:pt idx="288">
                  <c:v>41600</c:v>
                </c:pt>
                <c:pt idx="289">
                  <c:v>41601</c:v>
                </c:pt>
                <c:pt idx="290">
                  <c:v>41602</c:v>
                </c:pt>
                <c:pt idx="291">
                  <c:v>41603</c:v>
                </c:pt>
                <c:pt idx="292">
                  <c:v>41604</c:v>
                </c:pt>
                <c:pt idx="293">
                  <c:v>41605</c:v>
                </c:pt>
                <c:pt idx="294">
                  <c:v>41606</c:v>
                </c:pt>
                <c:pt idx="295">
                  <c:v>41607</c:v>
                </c:pt>
                <c:pt idx="296">
                  <c:v>41608</c:v>
                </c:pt>
                <c:pt idx="297">
                  <c:v>41609</c:v>
                </c:pt>
                <c:pt idx="298">
                  <c:v>41610</c:v>
                </c:pt>
                <c:pt idx="299">
                  <c:v>41611</c:v>
                </c:pt>
                <c:pt idx="300">
                  <c:v>41612</c:v>
                </c:pt>
                <c:pt idx="301">
                  <c:v>41613</c:v>
                </c:pt>
                <c:pt idx="302">
                  <c:v>41614</c:v>
                </c:pt>
                <c:pt idx="303">
                  <c:v>41615</c:v>
                </c:pt>
                <c:pt idx="304">
                  <c:v>41616</c:v>
                </c:pt>
                <c:pt idx="305">
                  <c:v>41617</c:v>
                </c:pt>
                <c:pt idx="306">
                  <c:v>41618</c:v>
                </c:pt>
                <c:pt idx="307">
                  <c:v>41619</c:v>
                </c:pt>
                <c:pt idx="308">
                  <c:v>41620</c:v>
                </c:pt>
                <c:pt idx="309">
                  <c:v>41621</c:v>
                </c:pt>
                <c:pt idx="310">
                  <c:v>41622</c:v>
                </c:pt>
                <c:pt idx="311">
                  <c:v>41623</c:v>
                </c:pt>
                <c:pt idx="312">
                  <c:v>41624</c:v>
                </c:pt>
                <c:pt idx="313">
                  <c:v>41625</c:v>
                </c:pt>
                <c:pt idx="314">
                  <c:v>41626</c:v>
                </c:pt>
                <c:pt idx="315">
                  <c:v>41627</c:v>
                </c:pt>
                <c:pt idx="316">
                  <c:v>41628</c:v>
                </c:pt>
                <c:pt idx="317">
                  <c:v>41629</c:v>
                </c:pt>
                <c:pt idx="318">
                  <c:v>41630</c:v>
                </c:pt>
                <c:pt idx="319">
                  <c:v>41631</c:v>
                </c:pt>
                <c:pt idx="320">
                  <c:v>41632</c:v>
                </c:pt>
                <c:pt idx="321">
                  <c:v>41633</c:v>
                </c:pt>
                <c:pt idx="322">
                  <c:v>41634</c:v>
                </c:pt>
                <c:pt idx="323">
                  <c:v>41635</c:v>
                </c:pt>
                <c:pt idx="324">
                  <c:v>41636</c:v>
                </c:pt>
                <c:pt idx="325">
                  <c:v>41637</c:v>
                </c:pt>
                <c:pt idx="326">
                  <c:v>41638</c:v>
                </c:pt>
                <c:pt idx="327">
                  <c:v>41639</c:v>
                </c:pt>
                <c:pt idx="328">
                  <c:v>41640</c:v>
                </c:pt>
                <c:pt idx="329">
                  <c:v>41641</c:v>
                </c:pt>
                <c:pt idx="330">
                  <c:v>41642</c:v>
                </c:pt>
                <c:pt idx="331">
                  <c:v>41643</c:v>
                </c:pt>
                <c:pt idx="332">
                  <c:v>41644</c:v>
                </c:pt>
                <c:pt idx="333">
                  <c:v>41645</c:v>
                </c:pt>
                <c:pt idx="334">
                  <c:v>41646</c:v>
                </c:pt>
                <c:pt idx="335">
                  <c:v>41647</c:v>
                </c:pt>
                <c:pt idx="336">
                  <c:v>41648</c:v>
                </c:pt>
                <c:pt idx="337">
                  <c:v>41649</c:v>
                </c:pt>
                <c:pt idx="338">
                  <c:v>41650</c:v>
                </c:pt>
                <c:pt idx="339">
                  <c:v>41651</c:v>
                </c:pt>
                <c:pt idx="340">
                  <c:v>41652</c:v>
                </c:pt>
                <c:pt idx="341">
                  <c:v>41653</c:v>
                </c:pt>
                <c:pt idx="342">
                  <c:v>41654</c:v>
                </c:pt>
                <c:pt idx="343">
                  <c:v>41655</c:v>
                </c:pt>
                <c:pt idx="344">
                  <c:v>41656</c:v>
                </c:pt>
                <c:pt idx="345">
                  <c:v>41657</c:v>
                </c:pt>
                <c:pt idx="346">
                  <c:v>41658</c:v>
                </c:pt>
                <c:pt idx="347">
                  <c:v>41659</c:v>
                </c:pt>
                <c:pt idx="348">
                  <c:v>41660</c:v>
                </c:pt>
                <c:pt idx="349">
                  <c:v>41661</c:v>
                </c:pt>
                <c:pt idx="350">
                  <c:v>41662</c:v>
                </c:pt>
                <c:pt idx="351">
                  <c:v>41663</c:v>
                </c:pt>
                <c:pt idx="352">
                  <c:v>41664</c:v>
                </c:pt>
                <c:pt idx="353">
                  <c:v>41665</c:v>
                </c:pt>
                <c:pt idx="354">
                  <c:v>41666</c:v>
                </c:pt>
                <c:pt idx="355">
                  <c:v>41667</c:v>
                </c:pt>
                <c:pt idx="356">
                  <c:v>41668</c:v>
                </c:pt>
                <c:pt idx="357">
                  <c:v>41669</c:v>
                </c:pt>
                <c:pt idx="358">
                  <c:v>41670</c:v>
                </c:pt>
                <c:pt idx="359">
                  <c:v>41671</c:v>
                </c:pt>
                <c:pt idx="360">
                  <c:v>41672</c:v>
                </c:pt>
                <c:pt idx="361">
                  <c:v>41673</c:v>
                </c:pt>
                <c:pt idx="362">
                  <c:v>41674</c:v>
                </c:pt>
                <c:pt idx="363">
                  <c:v>41675</c:v>
                </c:pt>
                <c:pt idx="364">
                  <c:v>41676</c:v>
                </c:pt>
                <c:pt idx="365">
                  <c:v>41677</c:v>
                </c:pt>
                <c:pt idx="366">
                  <c:v>41678</c:v>
                </c:pt>
                <c:pt idx="367">
                  <c:v>41679</c:v>
                </c:pt>
                <c:pt idx="368">
                  <c:v>41680</c:v>
                </c:pt>
                <c:pt idx="369">
                  <c:v>41681</c:v>
                </c:pt>
                <c:pt idx="370">
                  <c:v>41682</c:v>
                </c:pt>
                <c:pt idx="371">
                  <c:v>41683</c:v>
                </c:pt>
                <c:pt idx="372">
                  <c:v>41684</c:v>
                </c:pt>
                <c:pt idx="373">
                  <c:v>41685</c:v>
                </c:pt>
                <c:pt idx="374">
                  <c:v>41686</c:v>
                </c:pt>
                <c:pt idx="375">
                  <c:v>41687</c:v>
                </c:pt>
                <c:pt idx="376">
                  <c:v>41688</c:v>
                </c:pt>
                <c:pt idx="377">
                  <c:v>41689</c:v>
                </c:pt>
                <c:pt idx="378">
                  <c:v>41690</c:v>
                </c:pt>
                <c:pt idx="379">
                  <c:v>41691</c:v>
                </c:pt>
                <c:pt idx="380">
                  <c:v>41692</c:v>
                </c:pt>
                <c:pt idx="381">
                  <c:v>41693</c:v>
                </c:pt>
                <c:pt idx="382">
                  <c:v>41694</c:v>
                </c:pt>
                <c:pt idx="383">
                  <c:v>41695</c:v>
                </c:pt>
                <c:pt idx="384">
                  <c:v>41696</c:v>
                </c:pt>
                <c:pt idx="385">
                  <c:v>41697</c:v>
                </c:pt>
                <c:pt idx="386">
                  <c:v>41698</c:v>
                </c:pt>
                <c:pt idx="387">
                  <c:v>41699</c:v>
                </c:pt>
                <c:pt idx="388">
                  <c:v>41700</c:v>
                </c:pt>
                <c:pt idx="389">
                  <c:v>41701</c:v>
                </c:pt>
                <c:pt idx="390">
                  <c:v>41702</c:v>
                </c:pt>
                <c:pt idx="391">
                  <c:v>41703</c:v>
                </c:pt>
                <c:pt idx="392">
                  <c:v>41704</c:v>
                </c:pt>
                <c:pt idx="393">
                  <c:v>41705</c:v>
                </c:pt>
                <c:pt idx="394">
                  <c:v>41706</c:v>
                </c:pt>
                <c:pt idx="395">
                  <c:v>41707</c:v>
                </c:pt>
                <c:pt idx="396">
                  <c:v>41708</c:v>
                </c:pt>
                <c:pt idx="397">
                  <c:v>41709</c:v>
                </c:pt>
                <c:pt idx="398">
                  <c:v>41710</c:v>
                </c:pt>
                <c:pt idx="399">
                  <c:v>41711</c:v>
                </c:pt>
                <c:pt idx="400">
                  <c:v>41712</c:v>
                </c:pt>
                <c:pt idx="401">
                  <c:v>41713</c:v>
                </c:pt>
                <c:pt idx="402">
                  <c:v>41714</c:v>
                </c:pt>
                <c:pt idx="403">
                  <c:v>41715</c:v>
                </c:pt>
                <c:pt idx="404">
                  <c:v>41716</c:v>
                </c:pt>
                <c:pt idx="405">
                  <c:v>41717</c:v>
                </c:pt>
                <c:pt idx="406">
                  <c:v>41718</c:v>
                </c:pt>
                <c:pt idx="407">
                  <c:v>41719</c:v>
                </c:pt>
                <c:pt idx="408">
                  <c:v>41720</c:v>
                </c:pt>
                <c:pt idx="409">
                  <c:v>41721</c:v>
                </c:pt>
                <c:pt idx="410">
                  <c:v>41722</c:v>
                </c:pt>
                <c:pt idx="411">
                  <c:v>41723</c:v>
                </c:pt>
                <c:pt idx="412">
                  <c:v>41724</c:v>
                </c:pt>
                <c:pt idx="413">
                  <c:v>41725</c:v>
                </c:pt>
                <c:pt idx="414">
                  <c:v>41726</c:v>
                </c:pt>
                <c:pt idx="415">
                  <c:v>41727</c:v>
                </c:pt>
                <c:pt idx="416">
                  <c:v>41728</c:v>
                </c:pt>
                <c:pt idx="417">
                  <c:v>41729</c:v>
                </c:pt>
                <c:pt idx="418">
                  <c:v>41730</c:v>
                </c:pt>
                <c:pt idx="419">
                  <c:v>41731</c:v>
                </c:pt>
                <c:pt idx="420">
                  <c:v>41732</c:v>
                </c:pt>
                <c:pt idx="421">
                  <c:v>41733</c:v>
                </c:pt>
                <c:pt idx="422">
                  <c:v>41734</c:v>
                </c:pt>
                <c:pt idx="423">
                  <c:v>41735</c:v>
                </c:pt>
                <c:pt idx="424">
                  <c:v>41736</c:v>
                </c:pt>
                <c:pt idx="425">
                  <c:v>41737</c:v>
                </c:pt>
                <c:pt idx="426">
                  <c:v>41738</c:v>
                </c:pt>
                <c:pt idx="427">
                  <c:v>41739</c:v>
                </c:pt>
                <c:pt idx="428">
                  <c:v>41740</c:v>
                </c:pt>
                <c:pt idx="429">
                  <c:v>41741</c:v>
                </c:pt>
                <c:pt idx="430">
                  <c:v>41742</c:v>
                </c:pt>
                <c:pt idx="431">
                  <c:v>41743</c:v>
                </c:pt>
                <c:pt idx="432">
                  <c:v>41744</c:v>
                </c:pt>
                <c:pt idx="433">
                  <c:v>41745</c:v>
                </c:pt>
                <c:pt idx="434">
                  <c:v>41746</c:v>
                </c:pt>
                <c:pt idx="435">
                  <c:v>41747</c:v>
                </c:pt>
                <c:pt idx="436">
                  <c:v>41748</c:v>
                </c:pt>
                <c:pt idx="437">
                  <c:v>41749</c:v>
                </c:pt>
                <c:pt idx="438">
                  <c:v>41750</c:v>
                </c:pt>
                <c:pt idx="439">
                  <c:v>41751</c:v>
                </c:pt>
                <c:pt idx="440">
                  <c:v>41752</c:v>
                </c:pt>
                <c:pt idx="441">
                  <c:v>41753</c:v>
                </c:pt>
                <c:pt idx="442">
                  <c:v>41754</c:v>
                </c:pt>
                <c:pt idx="443">
                  <c:v>41755</c:v>
                </c:pt>
                <c:pt idx="444">
                  <c:v>41756</c:v>
                </c:pt>
                <c:pt idx="445">
                  <c:v>41757</c:v>
                </c:pt>
                <c:pt idx="446">
                  <c:v>41758</c:v>
                </c:pt>
                <c:pt idx="447">
                  <c:v>41759</c:v>
                </c:pt>
                <c:pt idx="448">
                  <c:v>41760</c:v>
                </c:pt>
                <c:pt idx="449">
                  <c:v>41761</c:v>
                </c:pt>
                <c:pt idx="450">
                  <c:v>41762</c:v>
                </c:pt>
                <c:pt idx="451">
                  <c:v>41763</c:v>
                </c:pt>
                <c:pt idx="452">
                  <c:v>41764</c:v>
                </c:pt>
                <c:pt idx="453">
                  <c:v>41765</c:v>
                </c:pt>
                <c:pt idx="454">
                  <c:v>41766</c:v>
                </c:pt>
                <c:pt idx="455">
                  <c:v>41767</c:v>
                </c:pt>
                <c:pt idx="456">
                  <c:v>41768</c:v>
                </c:pt>
                <c:pt idx="457">
                  <c:v>41769</c:v>
                </c:pt>
                <c:pt idx="458">
                  <c:v>41770</c:v>
                </c:pt>
                <c:pt idx="459">
                  <c:v>41771</c:v>
                </c:pt>
                <c:pt idx="460">
                  <c:v>41772</c:v>
                </c:pt>
                <c:pt idx="461">
                  <c:v>41773</c:v>
                </c:pt>
                <c:pt idx="462">
                  <c:v>41774</c:v>
                </c:pt>
                <c:pt idx="463">
                  <c:v>41775</c:v>
                </c:pt>
                <c:pt idx="464">
                  <c:v>41776</c:v>
                </c:pt>
                <c:pt idx="465">
                  <c:v>41777</c:v>
                </c:pt>
                <c:pt idx="466">
                  <c:v>41778</c:v>
                </c:pt>
                <c:pt idx="467">
                  <c:v>41779</c:v>
                </c:pt>
                <c:pt idx="468">
                  <c:v>41780</c:v>
                </c:pt>
                <c:pt idx="469">
                  <c:v>41781</c:v>
                </c:pt>
                <c:pt idx="470">
                  <c:v>41782</c:v>
                </c:pt>
                <c:pt idx="471">
                  <c:v>41783</c:v>
                </c:pt>
                <c:pt idx="472">
                  <c:v>41784</c:v>
                </c:pt>
                <c:pt idx="473">
                  <c:v>41785</c:v>
                </c:pt>
                <c:pt idx="474">
                  <c:v>41786</c:v>
                </c:pt>
                <c:pt idx="475">
                  <c:v>41787</c:v>
                </c:pt>
                <c:pt idx="476">
                  <c:v>41788</c:v>
                </c:pt>
                <c:pt idx="477">
                  <c:v>41789</c:v>
                </c:pt>
                <c:pt idx="478">
                  <c:v>41790</c:v>
                </c:pt>
              </c:numCache>
            </c:numRef>
          </c:cat>
          <c:val>
            <c:numRef>
              <c:f>'Rainfall Totals'!$B$20:$B$1011</c:f>
              <c:numCache>
                <c:formatCode>0.0</c:formatCode>
                <c:ptCount val="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1.7</c:v>
                </c:pt>
                <c:pt idx="34">
                  <c:v>14.2</c:v>
                </c:pt>
                <c:pt idx="35">
                  <c:v>15</c:v>
                </c:pt>
                <c:pt idx="36">
                  <c:v>8.6999999999999993</c:v>
                </c:pt>
                <c:pt idx="37">
                  <c:v>1.1000000000000001</c:v>
                </c:pt>
                <c:pt idx="38">
                  <c:v>0.1</c:v>
                </c:pt>
                <c:pt idx="39">
                  <c:v>0.1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0.1</c:v>
                </c:pt>
                <c:pt idx="44">
                  <c:v>0.8</c:v>
                </c:pt>
                <c:pt idx="45">
                  <c:v>0.8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</c:v>
                </c:pt>
                <c:pt idx="59">
                  <c:v>4.0999999999999996</c:v>
                </c:pt>
                <c:pt idx="60">
                  <c:v>4.0999999999999996</c:v>
                </c:pt>
                <c:pt idx="61">
                  <c:v>0.3</c:v>
                </c:pt>
                <c:pt idx="62">
                  <c:v>0.1</c:v>
                </c:pt>
                <c:pt idx="63">
                  <c:v>0.2</c:v>
                </c:pt>
                <c:pt idx="64">
                  <c:v>0.2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11</c:v>
                </c:pt>
                <c:pt idx="84">
                  <c:v>3.9</c:v>
                </c:pt>
                <c:pt idx="85">
                  <c:v>6.3</c:v>
                </c:pt>
                <c:pt idx="86">
                  <c:v>5.9</c:v>
                </c:pt>
                <c:pt idx="87">
                  <c:v>11.2</c:v>
                </c:pt>
                <c:pt idx="88">
                  <c:v>9.6999999999999993</c:v>
                </c:pt>
                <c:pt idx="89">
                  <c:v>7.9</c:v>
                </c:pt>
                <c:pt idx="90">
                  <c:v>0.1</c:v>
                </c:pt>
                <c:pt idx="91">
                  <c:v>0.1</c:v>
                </c:pt>
                <c:pt idx="92">
                  <c:v>10.1</c:v>
                </c:pt>
                <c:pt idx="93">
                  <c:v>13</c:v>
                </c:pt>
                <c:pt idx="94">
                  <c:v>5.0999999999999996</c:v>
                </c:pt>
                <c:pt idx="95">
                  <c:v>8</c:v>
                </c:pt>
                <c:pt idx="96">
                  <c:v>5.6</c:v>
                </c:pt>
                <c:pt idx="97">
                  <c:v>0.3</c:v>
                </c:pt>
                <c:pt idx="98">
                  <c:v>0.5</c:v>
                </c:pt>
                <c:pt idx="99">
                  <c:v>0.5</c:v>
                </c:pt>
                <c:pt idx="100">
                  <c:v>11.8</c:v>
                </c:pt>
                <c:pt idx="101">
                  <c:v>15.9</c:v>
                </c:pt>
                <c:pt idx="102">
                  <c:v>7.2</c:v>
                </c:pt>
                <c:pt idx="103">
                  <c:v>7.1</c:v>
                </c:pt>
                <c:pt idx="104">
                  <c:v>12.4</c:v>
                </c:pt>
                <c:pt idx="105">
                  <c:v>6.5</c:v>
                </c:pt>
                <c:pt idx="106">
                  <c:v>4.7</c:v>
                </c:pt>
                <c:pt idx="107">
                  <c:v>11.3</c:v>
                </c:pt>
                <c:pt idx="108">
                  <c:v>7.4</c:v>
                </c:pt>
                <c:pt idx="109">
                  <c:v>6.4</c:v>
                </c:pt>
                <c:pt idx="110">
                  <c:v>4.4000000000000004</c:v>
                </c:pt>
                <c:pt idx="111">
                  <c:v>4</c:v>
                </c:pt>
                <c:pt idx="112">
                  <c:v>11.7</c:v>
                </c:pt>
                <c:pt idx="113">
                  <c:v>3.6</c:v>
                </c:pt>
                <c:pt idx="114">
                  <c:v>19.399999999999999</c:v>
                </c:pt>
                <c:pt idx="115">
                  <c:v>24.3</c:v>
                </c:pt>
                <c:pt idx="116">
                  <c:v>17.100000000000001</c:v>
                </c:pt>
                <c:pt idx="117">
                  <c:v>145.19999999999999</c:v>
                </c:pt>
                <c:pt idx="118">
                  <c:v>14.3</c:v>
                </c:pt>
                <c:pt idx="119">
                  <c:v>27.5</c:v>
                </c:pt>
                <c:pt idx="120">
                  <c:v>19.8</c:v>
                </c:pt>
                <c:pt idx="121">
                  <c:v>0.4</c:v>
                </c:pt>
                <c:pt idx="122">
                  <c:v>14</c:v>
                </c:pt>
                <c:pt idx="123">
                  <c:v>0.9</c:v>
                </c:pt>
                <c:pt idx="124">
                  <c:v>9</c:v>
                </c:pt>
                <c:pt idx="125">
                  <c:v>1.4</c:v>
                </c:pt>
                <c:pt idx="126">
                  <c:v>2</c:v>
                </c:pt>
                <c:pt idx="127">
                  <c:v>15.5</c:v>
                </c:pt>
                <c:pt idx="128">
                  <c:v>6.3</c:v>
                </c:pt>
                <c:pt idx="129">
                  <c:v>0.3</c:v>
                </c:pt>
                <c:pt idx="130">
                  <c:v>2.2000000000000002</c:v>
                </c:pt>
                <c:pt idx="131">
                  <c:v>26.1</c:v>
                </c:pt>
                <c:pt idx="132">
                  <c:v>2.4</c:v>
                </c:pt>
                <c:pt idx="133">
                  <c:v>0.3</c:v>
                </c:pt>
                <c:pt idx="134">
                  <c:v>0.2</c:v>
                </c:pt>
                <c:pt idx="135">
                  <c:v>1.6</c:v>
                </c:pt>
                <c:pt idx="136">
                  <c:v>0.3</c:v>
                </c:pt>
                <c:pt idx="137">
                  <c:v>0</c:v>
                </c:pt>
                <c:pt idx="138">
                  <c:v>12.7</c:v>
                </c:pt>
                <c:pt idx="139">
                  <c:v>0</c:v>
                </c:pt>
                <c:pt idx="140">
                  <c:v>0.2</c:v>
                </c:pt>
                <c:pt idx="141">
                  <c:v>0</c:v>
                </c:pt>
                <c:pt idx="142">
                  <c:v>0.6</c:v>
                </c:pt>
                <c:pt idx="143">
                  <c:v>0</c:v>
                </c:pt>
                <c:pt idx="144">
                  <c:v>0.3</c:v>
                </c:pt>
                <c:pt idx="145">
                  <c:v>0</c:v>
                </c:pt>
                <c:pt idx="146">
                  <c:v>27.8</c:v>
                </c:pt>
                <c:pt idx="147">
                  <c:v>0</c:v>
                </c:pt>
                <c:pt idx="148">
                  <c:v>0</c:v>
                </c:pt>
                <c:pt idx="149">
                  <c:v>7.2</c:v>
                </c:pt>
                <c:pt idx="150">
                  <c:v>0.5</c:v>
                </c:pt>
                <c:pt idx="151">
                  <c:v>0.9</c:v>
                </c:pt>
                <c:pt idx="152">
                  <c:v>0</c:v>
                </c:pt>
                <c:pt idx="153">
                  <c:v>0.3</c:v>
                </c:pt>
                <c:pt idx="154">
                  <c:v>3.6</c:v>
                </c:pt>
                <c:pt idx="155">
                  <c:v>0.9</c:v>
                </c:pt>
                <c:pt idx="156">
                  <c:v>0</c:v>
                </c:pt>
                <c:pt idx="157">
                  <c:v>0.3</c:v>
                </c:pt>
                <c:pt idx="158">
                  <c:v>0</c:v>
                </c:pt>
                <c:pt idx="159">
                  <c:v>0.9</c:v>
                </c:pt>
                <c:pt idx="160">
                  <c:v>0</c:v>
                </c:pt>
                <c:pt idx="161">
                  <c:v>0.5</c:v>
                </c:pt>
                <c:pt idx="162">
                  <c:v>0.8</c:v>
                </c:pt>
                <c:pt idx="163">
                  <c:v>0</c:v>
                </c:pt>
                <c:pt idx="164">
                  <c:v>4.4000000000000004</c:v>
                </c:pt>
                <c:pt idx="165">
                  <c:v>0.9</c:v>
                </c:pt>
                <c:pt idx="166">
                  <c:v>0.4</c:v>
                </c:pt>
                <c:pt idx="167">
                  <c:v>0.4</c:v>
                </c:pt>
                <c:pt idx="168">
                  <c:v>4.8</c:v>
                </c:pt>
                <c:pt idx="169">
                  <c:v>0</c:v>
                </c:pt>
                <c:pt idx="170">
                  <c:v>0.3</c:v>
                </c:pt>
                <c:pt idx="171">
                  <c:v>0</c:v>
                </c:pt>
                <c:pt idx="172">
                  <c:v>148.69999999999999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0.1</c:v>
                </c:pt>
                <c:pt idx="190">
                  <c:v>0</c:v>
                </c:pt>
                <c:pt idx="191">
                  <c:v>0.3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0.4</c:v>
                </c:pt>
                <c:pt idx="198">
                  <c:v>2.1</c:v>
                </c:pt>
                <c:pt idx="199">
                  <c:v>0</c:v>
                </c:pt>
                <c:pt idx="200">
                  <c:v>0</c:v>
                </c:pt>
                <c:pt idx="201">
                  <c:v>5.3</c:v>
                </c:pt>
                <c:pt idx="202">
                  <c:v>2</c:v>
                </c:pt>
                <c:pt idx="203">
                  <c:v>2.2999999999999998</c:v>
                </c:pt>
                <c:pt idx="204">
                  <c:v>0</c:v>
                </c:pt>
                <c:pt idx="205">
                  <c:v>0</c:v>
                </c:pt>
                <c:pt idx="206">
                  <c:v>8.3000000000000007</c:v>
                </c:pt>
                <c:pt idx="207">
                  <c:v>9.3000000000000007</c:v>
                </c:pt>
                <c:pt idx="208">
                  <c:v>9.1999999999999993</c:v>
                </c:pt>
                <c:pt idx="209">
                  <c:v>17.600000000000001</c:v>
                </c:pt>
                <c:pt idx="210">
                  <c:v>2.6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1.5</c:v>
                </c:pt>
                <c:pt idx="217">
                  <c:v>0.1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0.1</c:v>
                </c:pt>
                <c:pt idx="224">
                  <c:v>0.1</c:v>
                </c:pt>
                <c:pt idx="225">
                  <c:v>0.2</c:v>
                </c:pt>
                <c:pt idx="226">
                  <c:v>0</c:v>
                </c:pt>
                <c:pt idx="227">
                  <c:v>3.8</c:v>
                </c:pt>
                <c:pt idx="228">
                  <c:v>0</c:v>
                </c:pt>
                <c:pt idx="229">
                  <c:v>0</c:v>
                </c:pt>
                <c:pt idx="230">
                  <c:v>0.8</c:v>
                </c:pt>
                <c:pt idx="231">
                  <c:v>0</c:v>
                </c:pt>
                <c:pt idx="232">
                  <c:v>5.3</c:v>
                </c:pt>
                <c:pt idx="233">
                  <c:v>0</c:v>
                </c:pt>
                <c:pt idx="234">
                  <c:v>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3.2</c:v>
                </c:pt>
                <c:pt idx="239">
                  <c:v>0.1</c:v>
                </c:pt>
                <c:pt idx="240">
                  <c:v>0.1</c:v>
                </c:pt>
                <c:pt idx="241">
                  <c:v>0.3</c:v>
                </c:pt>
                <c:pt idx="242">
                  <c:v>0</c:v>
                </c:pt>
                <c:pt idx="243">
                  <c:v>1.5</c:v>
                </c:pt>
                <c:pt idx="244">
                  <c:v>1.1000000000000001</c:v>
                </c:pt>
                <c:pt idx="245">
                  <c:v>0</c:v>
                </c:pt>
                <c:pt idx="246">
                  <c:v>0</c:v>
                </c:pt>
                <c:pt idx="247">
                  <c:v>0.6</c:v>
                </c:pt>
                <c:pt idx="248">
                  <c:v>3.1</c:v>
                </c:pt>
                <c:pt idx="249">
                  <c:v>1.6</c:v>
                </c:pt>
                <c:pt idx="250">
                  <c:v>1.2</c:v>
                </c:pt>
                <c:pt idx="251">
                  <c:v>0.5</c:v>
                </c:pt>
                <c:pt idx="252">
                  <c:v>0.3</c:v>
                </c:pt>
                <c:pt idx="253">
                  <c:v>0.4</c:v>
                </c:pt>
                <c:pt idx="254">
                  <c:v>0</c:v>
                </c:pt>
                <c:pt idx="255">
                  <c:v>0.9</c:v>
                </c:pt>
                <c:pt idx="256">
                  <c:v>1.5</c:v>
                </c:pt>
                <c:pt idx="257">
                  <c:v>0.1</c:v>
                </c:pt>
                <c:pt idx="258">
                  <c:v>0</c:v>
                </c:pt>
                <c:pt idx="259">
                  <c:v>0.4</c:v>
                </c:pt>
                <c:pt idx="260">
                  <c:v>0.3</c:v>
                </c:pt>
                <c:pt idx="261">
                  <c:v>1.8</c:v>
                </c:pt>
                <c:pt idx="262">
                  <c:v>0</c:v>
                </c:pt>
                <c:pt idx="263">
                  <c:v>0</c:v>
                </c:pt>
                <c:pt idx="264">
                  <c:v>0.8</c:v>
                </c:pt>
                <c:pt idx="265">
                  <c:v>0.1</c:v>
                </c:pt>
                <c:pt idx="266">
                  <c:v>0.3</c:v>
                </c:pt>
                <c:pt idx="267">
                  <c:v>0</c:v>
                </c:pt>
                <c:pt idx="268">
                  <c:v>0.2</c:v>
                </c:pt>
                <c:pt idx="269">
                  <c:v>0</c:v>
                </c:pt>
                <c:pt idx="270">
                  <c:v>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0.3</c:v>
                </c:pt>
                <c:pt idx="277">
                  <c:v>0</c:v>
                </c:pt>
                <c:pt idx="278">
                  <c:v>0</c:v>
                </c:pt>
                <c:pt idx="279">
                  <c:v>0.6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1.3</c:v>
                </c:pt>
                <c:pt idx="295">
                  <c:v>0.1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0.2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0.6</c:v>
                </c:pt>
                <c:pt idx="422">
                  <c:v>0.8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4.5999999999999996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0.9</c:v>
                </c:pt>
                <c:pt idx="448">
                  <c:v>0.1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1.5</c:v>
                </c:pt>
                <c:pt idx="461">
                  <c:v>0</c:v>
                </c:pt>
                <c:pt idx="462">
                  <c:v>0.1</c:v>
                </c:pt>
                <c:pt idx="463">
                  <c:v>0</c:v>
                </c:pt>
                <c:pt idx="464">
                  <c:v>0.2</c:v>
                </c:pt>
                <c:pt idx="465">
                  <c:v>0</c:v>
                </c:pt>
                <c:pt idx="466">
                  <c:v>0</c:v>
                </c:pt>
                <c:pt idx="467">
                  <c:v>0.7</c:v>
                </c:pt>
                <c:pt idx="468">
                  <c:v>0.8</c:v>
                </c:pt>
                <c:pt idx="469">
                  <c:v>0.1</c:v>
                </c:pt>
                <c:pt idx="470">
                  <c:v>0</c:v>
                </c:pt>
                <c:pt idx="471">
                  <c:v>0.2</c:v>
                </c:pt>
                <c:pt idx="472">
                  <c:v>0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0.6</c:v>
                </c:pt>
                <c:pt idx="477">
                  <c:v>1.6</c:v>
                </c:pt>
                <c:pt idx="478">
                  <c:v>0.3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504704"/>
        <c:axId val="120506240"/>
      </c:barChart>
      <c:lineChart>
        <c:grouping val="standard"/>
        <c:varyColors val="0"/>
        <c:ser>
          <c:idx val="0"/>
          <c:order val="1"/>
          <c:tx>
            <c:strRef>
              <c:f>'Rainfall Totals'!$C$18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cat>
            <c:numRef>
              <c:f>'Rainfall Totals'!$A$20:$A$265</c:f>
              <c:numCache>
                <c:formatCode>m/d/yyyy</c:formatCode>
                <c:ptCount val="246"/>
                <c:pt idx="0">
                  <c:v>41312</c:v>
                </c:pt>
                <c:pt idx="1">
                  <c:v>41313</c:v>
                </c:pt>
                <c:pt idx="2">
                  <c:v>41314</c:v>
                </c:pt>
                <c:pt idx="3">
                  <c:v>41315</c:v>
                </c:pt>
                <c:pt idx="4">
                  <c:v>41316</c:v>
                </c:pt>
                <c:pt idx="5">
                  <c:v>41317</c:v>
                </c:pt>
                <c:pt idx="6">
                  <c:v>41318</c:v>
                </c:pt>
                <c:pt idx="7">
                  <c:v>41319</c:v>
                </c:pt>
                <c:pt idx="8">
                  <c:v>41320</c:v>
                </c:pt>
                <c:pt idx="9">
                  <c:v>41321</c:v>
                </c:pt>
                <c:pt idx="10">
                  <c:v>41322</c:v>
                </c:pt>
                <c:pt idx="11">
                  <c:v>41323</c:v>
                </c:pt>
                <c:pt idx="12">
                  <c:v>41324</c:v>
                </c:pt>
                <c:pt idx="13">
                  <c:v>41325</c:v>
                </c:pt>
                <c:pt idx="14">
                  <c:v>41326</c:v>
                </c:pt>
                <c:pt idx="15">
                  <c:v>41327</c:v>
                </c:pt>
                <c:pt idx="16">
                  <c:v>41328</c:v>
                </c:pt>
                <c:pt idx="17">
                  <c:v>41329</c:v>
                </c:pt>
                <c:pt idx="18">
                  <c:v>41330</c:v>
                </c:pt>
                <c:pt idx="19">
                  <c:v>41331</c:v>
                </c:pt>
                <c:pt idx="20">
                  <c:v>41332</c:v>
                </c:pt>
                <c:pt idx="21">
                  <c:v>41333</c:v>
                </c:pt>
                <c:pt idx="22">
                  <c:v>41334</c:v>
                </c:pt>
                <c:pt idx="23">
                  <c:v>41335</c:v>
                </c:pt>
                <c:pt idx="24">
                  <c:v>41336</c:v>
                </c:pt>
                <c:pt idx="25">
                  <c:v>41337</c:v>
                </c:pt>
                <c:pt idx="26">
                  <c:v>41338</c:v>
                </c:pt>
                <c:pt idx="27">
                  <c:v>41339</c:v>
                </c:pt>
                <c:pt idx="28">
                  <c:v>41340</c:v>
                </c:pt>
                <c:pt idx="29">
                  <c:v>41341</c:v>
                </c:pt>
                <c:pt idx="30">
                  <c:v>41342</c:v>
                </c:pt>
                <c:pt idx="31">
                  <c:v>41343</c:v>
                </c:pt>
                <c:pt idx="32">
                  <c:v>41344</c:v>
                </c:pt>
                <c:pt idx="33">
                  <c:v>41345</c:v>
                </c:pt>
                <c:pt idx="34">
                  <c:v>41346</c:v>
                </c:pt>
                <c:pt idx="35">
                  <c:v>41347</c:v>
                </c:pt>
                <c:pt idx="36">
                  <c:v>41348</c:v>
                </c:pt>
                <c:pt idx="37">
                  <c:v>41349</c:v>
                </c:pt>
                <c:pt idx="38">
                  <c:v>41350</c:v>
                </c:pt>
                <c:pt idx="39">
                  <c:v>41351</c:v>
                </c:pt>
                <c:pt idx="40">
                  <c:v>41352</c:v>
                </c:pt>
                <c:pt idx="41">
                  <c:v>41353</c:v>
                </c:pt>
                <c:pt idx="42">
                  <c:v>41354</c:v>
                </c:pt>
                <c:pt idx="43">
                  <c:v>41355</c:v>
                </c:pt>
                <c:pt idx="44">
                  <c:v>41356</c:v>
                </c:pt>
                <c:pt idx="45">
                  <c:v>41357</c:v>
                </c:pt>
                <c:pt idx="46">
                  <c:v>41358</c:v>
                </c:pt>
                <c:pt idx="47">
                  <c:v>41359</c:v>
                </c:pt>
                <c:pt idx="48">
                  <c:v>41360</c:v>
                </c:pt>
                <c:pt idx="49">
                  <c:v>41361</c:v>
                </c:pt>
                <c:pt idx="50">
                  <c:v>41362</c:v>
                </c:pt>
                <c:pt idx="51">
                  <c:v>41363</c:v>
                </c:pt>
                <c:pt idx="52">
                  <c:v>41364</c:v>
                </c:pt>
                <c:pt idx="53">
                  <c:v>41365</c:v>
                </c:pt>
                <c:pt idx="54">
                  <c:v>41366</c:v>
                </c:pt>
                <c:pt idx="55">
                  <c:v>41367</c:v>
                </c:pt>
                <c:pt idx="56">
                  <c:v>41368</c:v>
                </c:pt>
                <c:pt idx="57">
                  <c:v>41369</c:v>
                </c:pt>
                <c:pt idx="58">
                  <c:v>41370</c:v>
                </c:pt>
                <c:pt idx="59">
                  <c:v>41371</c:v>
                </c:pt>
                <c:pt idx="60">
                  <c:v>41372</c:v>
                </c:pt>
                <c:pt idx="61">
                  <c:v>41373</c:v>
                </c:pt>
                <c:pt idx="62">
                  <c:v>41374</c:v>
                </c:pt>
                <c:pt idx="63">
                  <c:v>41375</c:v>
                </c:pt>
                <c:pt idx="64">
                  <c:v>41376</c:v>
                </c:pt>
                <c:pt idx="65">
                  <c:v>41377</c:v>
                </c:pt>
                <c:pt idx="66">
                  <c:v>41378</c:v>
                </c:pt>
                <c:pt idx="67">
                  <c:v>41379</c:v>
                </c:pt>
                <c:pt idx="68">
                  <c:v>41380</c:v>
                </c:pt>
                <c:pt idx="69">
                  <c:v>41381</c:v>
                </c:pt>
                <c:pt idx="70">
                  <c:v>41382</c:v>
                </c:pt>
                <c:pt idx="71">
                  <c:v>41383</c:v>
                </c:pt>
                <c:pt idx="72">
                  <c:v>41384</c:v>
                </c:pt>
                <c:pt idx="73">
                  <c:v>41385</c:v>
                </c:pt>
                <c:pt idx="74">
                  <c:v>41386</c:v>
                </c:pt>
                <c:pt idx="75">
                  <c:v>41387</c:v>
                </c:pt>
                <c:pt idx="76">
                  <c:v>41388</c:v>
                </c:pt>
                <c:pt idx="77">
                  <c:v>41389</c:v>
                </c:pt>
                <c:pt idx="78">
                  <c:v>41390</c:v>
                </c:pt>
                <c:pt idx="79">
                  <c:v>41391</c:v>
                </c:pt>
                <c:pt idx="80">
                  <c:v>41392</c:v>
                </c:pt>
                <c:pt idx="81">
                  <c:v>41393</c:v>
                </c:pt>
                <c:pt idx="82">
                  <c:v>41394</c:v>
                </c:pt>
                <c:pt idx="83">
                  <c:v>41395</c:v>
                </c:pt>
                <c:pt idx="84">
                  <c:v>41396</c:v>
                </c:pt>
                <c:pt idx="85">
                  <c:v>41397</c:v>
                </c:pt>
                <c:pt idx="86">
                  <c:v>41398</c:v>
                </c:pt>
                <c:pt idx="87">
                  <c:v>41399</c:v>
                </c:pt>
                <c:pt idx="88">
                  <c:v>41400</c:v>
                </c:pt>
                <c:pt idx="89">
                  <c:v>41401</c:v>
                </c:pt>
                <c:pt idx="90">
                  <c:v>41402</c:v>
                </c:pt>
                <c:pt idx="91">
                  <c:v>41403</c:v>
                </c:pt>
                <c:pt idx="92">
                  <c:v>41404</c:v>
                </c:pt>
                <c:pt idx="93">
                  <c:v>41405</c:v>
                </c:pt>
                <c:pt idx="94">
                  <c:v>41406</c:v>
                </c:pt>
                <c:pt idx="95">
                  <c:v>41407</c:v>
                </c:pt>
                <c:pt idx="96">
                  <c:v>41408</c:v>
                </c:pt>
                <c:pt idx="97">
                  <c:v>41409</c:v>
                </c:pt>
                <c:pt idx="98">
                  <c:v>41410</c:v>
                </c:pt>
                <c:pt idx="99">
                  <c:v>41411</c:v>
                </c:pt>
                <c:pt idx="100">
                  <c:v>41412</c:v>
                </c:pt>
                <c:pt idx="101">
                  <c:v>41413</c:v>
                </c:pt>
                <c:pt idx="102">
                  <c:v>41414</c:v>
                </c:pt>
                <c:pt idx="103">
                  <c:v>41415</c:v>
                </c:pt>
                <c:pt idx="104">
                  <c:v>41416</c:v>
                </c:pt>
                <c:pt idx="105">
                  <c:v>41417</c:v>
                </c:pt>
                <c:pt idx="106">
                  <c:v>41418</c:v>
                </c:pt>
                <c:pt idx="107">
                  <c:v>41419</c:v>
                </c:pt>
                <c:pt idx="108">
                  <c:v>41420</c:v>
                </c:pt>
                <c:pt idx="109">
                  <c:v>41421</c:v>
                </c:pt>
                <c:pt idx="110">
                  <c:v>41422</c:v>
                </c:pt>
                <c:pt idx="111">
                  <c:v>41423</c:v>
                </c:pt>
                <c:pt idx="112">
                  <c:v>41424</c:v>
                </c:pt>
                <c:pt idx="113">
                  <c:v>41425</c:v>
                </c:pt>
                <c:pt idx="114">
                  <c:v>41426</c:v>
                </c:pt>
                <c:pt idx="115">
                  <c:v>41427</c:v>
                </c:pt>
                <c:pt idx="116">
                  <c:v>41428</c:v>
                </c:pt>
                <c:pt idx="117">
                  <c:v>41429</c:v>
                </c:pt>
                <c:pt idx="118">
                  <c:v>41430</c:v>
                </c:pt>
                <c:pt idx="119">
                  <c:v>41431</c:v>
                </c:pt>
                <c:pt idx="120">
                  <c:v>41432</c:v>
                </c:pt>
                <c:pt idx="121">
                  <c:v>41433</c:v>
                </c:pt>
                <c:pt idx="122">
                  <c:v>41434</c:v>
                </c:pt>
                <c:pt idx="123">
                  <c:v>41435</c:v>
                </c:pt>
                <c:pt idx="124">
                  <c:v>41436</c:v>
                </c:pt>
                <c:pt idx="125">
                  <c:v>41437</c:v>
                </c:pt>
                <c:pt idx="126">
                  <c:v>41438</c:v>
                </c:pt>
                <c:pt idx="127">
                  <c:v>41439</c:v>
                </c:pt>
                <c:pt idx="128">
                  <c:v>41440</c:v>
                </c:pt>
                <c:pt idx="129">
                  <c:v>41441</c:v>
                </c:pt>
                <c:pt idx="130">
                  <c:v>41442</c:v>
                </c:pt>
                <c:pt idx="131">
                  <c:v>41443</c:v>
                </c:pt>
                <c:pt idx="132">
                  <c:v>41444</c:v>
                </c:pt>
                <c:pt idx="133">
                  <c:v>41445</c:v>
                </c:pt>
                <c:pt idx="134">
                  <c:v>41446</c:v>
                </c:pt>
                <c:pt idx="135">
                  <c:v>41447</c:v>
                </c:pt>
                <c:pt idx="136">
                  <c:v>41448</c:v>
                </c:pt>
                <c:pt idx="137">
                  <c:v>41449</c:v>
                </c:pt>
                <c:pt idx="138">
                  <c:v>41450</c:v>
                </c:pt>
                <c:pt idx="139">
                  <c:v>41451</c:v>
                </c:pt>
                <c:pt idx="140">
                  <c:v>41452</c:v>
                </c:pt>
                <c:pt idx="141">
                  <c:v>41453</c:v>
                </c:pt>
                <c:pt idx="142">
                  <c:v>41454</c:v>
                </c:pt>
                <c:pt idx="143">
                  <c:v>41455</c:v>
                </c:pt>
                <c:pt idx="144">
                  <c:v>41456</c:v>
                </c:pt>
                <c:pt idx="145">
                  <c:v>41457</c:v>
                </c:pt>
                <c:pt idx="146">
                  <c:v>41458</c:v>
                </c:pt>
                <c:pt idx="147">
                  <c:v>41459</c:v>
                </c:pt>
                <c:pt idx="148">
                  <c:v>41460</c:v>
                </c:pt>
                <c:pt idx="149">
                  <c:v>41461</c:v>
                </c:pt>
                <c:pt idx="150">
                  <c:v>41462</c:v>
                </c:pt>
                <c:pt idx="151">
                  <c:v>41463</c:v>
                </c:pt>
                <c:pt idx="152">
                  <c:v>41464</c:v>
                </c:pt>
                <c:pt idx="153">
                  <c:v>41465</c:v>
                </c:pt>
                <c:pt idx="154">
                  <c:v>41466</c:v>
                </c:pt>
                <c:pt idx="155">
                  <c:v>41467</c:v>
                </c:pt>
                <c:pt idx="156">
                  <c:v>41468</c:v>
                </c:pt>
                <c:pt idx="157">
                  <c:v>41469</c:v>
                </c:pt>
                <c:pt idx="158">
                  <c:v>41470</c:v>
                </c:pt>
                <c:pt idx="159">
                  <c:v>41471</c:v>
                </c:pt>
                <c:pt idx="160">
                  <c:v>41472</c:v>
                </c:pt>
                <c:pt idx="161">
                  <c:v>41473</c:v>
                </c:pt>
                <c:pt idx="162">
                  <c:v>41474</c:v>
                </c:pt>
                <c:pt idx="163">
                  <c:v>41475</c:v>
                </c:pt>
                <c:pt idx="164">
                  <c:v>41476</c:v>
                </c:pt>
                <c:pt idx="165">
                  <c:v>41477</c:v>
                </c:pt>
                <c:pt idx="166">
                  <c:v>41478</c:v>
                </c:pt>
                <c:pt idx="167">
                  <c:v>41479</c:v>
                </c:pt>
                <c:pt idx="168">
                  <c:v>41480</c:v>
                </c:pt>
                <c:pt idx="169">
                  <c:v>41481</c:v>
                </c:pt>
                <c:pt idx="170">
                  <c:v>41482</c:v>
                </c:pt>
                <c:pt idx="171">
                  <c:v>41483</c:v>
                </c:pt>
                <c:pt idx="172">
                  <c:v>41484</c:v>
                </c:pt>
                <c:pt idx="173">
                  <c:v>41485</c:v>
                </c:pt>
                <c:pt idx="174">
                  <c:v>41486</c:v>
                </c:pt>
                <c:pt idx="175">
                  <c:v>41487</c:v>
                </c:pt>
                <c:pt idx="176">
                  <c:v>41488</c:v>
                </c:pt>
                <c:pt idx="177">
                  <c:v>41489</c:v>
                </c:pt>
                <c:pt idx="178">
                  <c:v>41490</c:v>
                </c:pt>
                <c:pt idx="179">
                  <c:v>41491</c:v>
                </c:pt>
                <c:pt idx="180">
                  <c:v>41492</c:v>
                </c:pt>
                <c:pt idx="181">
                  <c:v>41493</c:v>
                </c:pt>
                <c:pt idx="182">
                  <c:v>41494</c:v>
                </c:pt>
                <c:pt idx="183">
                  <c:v>41495</c:v>
                </c:pt>
                <c:pt idx="184">
                  <c:v>41496</c:v>
                </c:pt>
                <c:pt idx="185">
                  <c:v>41497</c:v>
                </c:pt>
                <c:pt idx="186">
                  <c:v>41498</c:v>
                </c:pt>
                <c:pt idx="187">
                  <c:v>41499</c:v>
                </c:pt>
                <c:pt idx="188">
                  <c:v>41500</c:v>
                </c:pt>
                <c:pt idx="189">
                  <c:v>41501</c:v>
                </c:pt>
                <c:pt idx="190">
                  <c:v>41502</c:v>
                </c:pt>
                <c:pt idx="191">
                  <c:v>41503</c:v>
                </c:pt>
                <c:pt idx="192">
                  <c:v>41504</c:v>
                </c:pt>
                <c:pt idx="193">
                  <c:v>41505</c:v>
                </c:pt>
                <c:pt idx="194">
                  <c:v>41506</c:v>
                </c:pt>
                <c:pt idx="195">
                  <c:v>41507</c:v>
                </c:pt>
                <c:pt idx="196">
                  <c:v>41508</c:v>
                </c:pt>
                <c:pt idx="197">
                  <c:v>41509</c:v>
                </c:pt>
                <c:pt idx="198">
                  <c:v>41510</c:v>
                </c:pt>
                <c:pt idx="199">
                  <c:v>41511</c:v>
                </c:pt>
                <c:pt idx="200">
                  <c:v>41512</c:v>
                </c:pt>
                <c:pt idx="201">
                  <c:v>41513</c:v>
                </c:pt>
                <c:pt idx="202">
                  <c:v>41514</c:v>
                </c:pt>
                <c:pt idx="203">
                  <c:v>41515</c:v>
                </c:pt>
                <c:pt idx="204">
                  <c:v>41516</c:v>
                </c:pt>
                <c:pt idx="205">
                  <c:v>41517</c:v>
                </c:pt>
                <c:pt idx="206">
                  <c:v>41518</c:v>
                </c:pt>
                <c:pt idx="207">
                  <c:v>41519</c:v>
                </c:pt>
                <c:pt idx="208">
                  <c:v>41520</c:v>
                </c:pt>
                <c:pt idx="209">
                  <c:v>41521</c:v>
                </c:pt>
                <c:pt idx="210">
                  <c:v>41522</c:v>
                </c:pt>
                <c:pt idx="211">
                  <c:v>41523</c:v>
                </c:pt>
                <c:pt idx="212">
                  <c:v>41524</c:v>
                </c:pt>
                <c:pt idx="213">
                  <c:v>41525</c:v>
                </c:pt>
                <c:pt idx="214">
                  <c:v>41526</c:v>
                </c:pt>
                <c:pt idx="215">
                  <c:v>41527</c:v>
                </c:pt>
                <c:pt idx="216">
                  <c:v>41528</c:v>
                </c:pt>
                <c:pt idx="217">
                  <c:v>41529</c:v>
                </c:pt>
                <c:pt idx="218">
                  <c:v>41530</c:v>
                </c:pt>
                <c:pt idx="219">
                  <c:v>41531</c:v>
                </c:pt>
                <c:pt idx="220">
                  <c:v>41532</c:v>
                </c:pt>
                <c:pt idx="221">
                  <c:v>41533</c:v>
                </c:pt>
                <c:pt idx="222">
                  <c:v>41534</c:v>
                </c:pt>
                <c:pt idx="223">
                  <c:v>41535</c:v>
                </c:pt>
                <c:pt idx="224">
                  <c:v>41536</c:v>
                </c:pt>
                <c:pt idx="225">
                  <c:v>41537</c:v>
                </c:pt>
                <c:pt idx="226">
                  <c:v>41538</c:v>
                </c:pt>
                <c:pt idx="227">
                  <c:v>41539</c:v>
                </c:pt>
                <c:pt idx="228">
                  <c:v>41540</c:v>
                </c:pt>
                <c:pt idx="229">
                  <c:v>41541</c:v>
                </c:pt>
                <c:pt idx="230">
                  <c:v>41542</c:v>
                </c:pt>
                <c:pt idx="231">
                  <c:v>41543</c:v>
                </c:pt>
                <c:pt idx="232">
                  <c:v>41544</c:v>
                </c:pt>
                <c:pt idx="233">
                  <c:v>41545</c:v>
                </c:pt>
                <c:pt idx="234">
                  <c:v>41546</c:v>
                </c:pt>
                <c:pt idx="235">
                  <c:v>41547</c:v>
                </c:pt>
                <c:pt idx="236">
                  <c:v>41548</c:v>
                </c:pt>
                <c:pt idx="237">
                  <c:v>41549</c:v>
                </c:pt>
                <c:pt idx="238">
                  <c:v>41550</c:v>
                </c:pt>
                <c:pt idx="239">
                  <c:v>41551</c:v>
                </c:pt>
                <c:pt idx="240">
                  <c:v>41552</c:v>
                </c:pt>
                <c:pt idx="241">
                  <c:v>41553</c:v>
                </c:pt>
                <c:pt idx="242">
                  <c:v>41554</c:v>
                </c:pt>
                <c:pt idx="243">
                  <c:v>41555</c:v>
                </c:pt>
                <c:pt idx="244">
                  <c:v>41556</c:v>
                </c:pt>
                <c:pt idx="245">
                  <c:v>41557</c:v>
                </c:pt>
              </c:numCache>
            </c:numRef>
          </c:cat>
          <c:val>
            <c:numRef>
              <c:f>'Rainfall Totals'!$C$20:$C$1011</c:f>
              <c:numCache>
                <c:formatCode>0.0</c:formatCode>
                <c:ptCount val="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1.7</c:v>
                </c:pt>
                <c:pt idx="34">
                  <c:v>15.899999999999999</c:v>
                </c:pt>
                <c:pt idx="35">
                  <c:v>30.9</c:v>
                </c:pt>
                <c:pt idx="36">
                  <c:v>39.599999999999994</c:v>
                </c:pt>
                <c:pt idx="37">
                  <c:v>40.699999999999996</c:v>
                </c:pt>
                <c:pt idx="38">
                  <c:v>40.799999999999997</c:v>
                </c:pt>
                <c:pt idx="39">
                  <c:v>40.9</c:v>
                </c:pt>
                <c:pt idx="40">
                  <c:v>41.199999999999996</c:v>
                </c:pt>
                <c:pt idx="41">
                  <c:v>41.499999999999993</c:v>
                </c:pt>
                <c:pt idx="42">
                  <c:v>41.699999999999996</c:v>
                </c:pt>
                <c:pt idx="43">
                  <c:v>41.8</c:v>
                </c:pt>
                <c:pt idx="44">
                  <c:v>42.599999999999994</c:v>
                </c:pt>
                <c:pt idx="45">
                  <c:v>43.399999999999991</c:v>
                </c:pt>
                <c:pt idx="46">
                  <c:v>43.399999999999991</c:v>
                </c:pt>
                <c:pt idx="47">
                  <c:v>43.399999999999991</c:v>
                </c:pt>
                <c:pt idx="48">
                  <c:v>43.399999999999991</c:v>
                </c:pt>
                <c:pt idx="49">
                  <c:v>43.399999999999991</c:v>
                </c:pt>
                <c:pt idx="50">
                  <c:v>43.399999999999991</c:v>
                </c:pt>
                <c:pt idx="51">
                  <c:v>43.399999999999991</c:v>
                </c:pt>
                <c:pt idx="52">
                  <c:v>43.399999999999991</c:v>
                </c:pt>
                <c:pt idx="53">
                  <c:v>43.399999999999991</c:v>
                </c:pt>
                <c:pt idx="54">
                  <c:v>43.399999999999991</c:v>
                </c:pt>
                <c:pt idx="55">
                  <c:v>43.399999999999991</c:v>
                </c:pt>
                <c:pt idx="56">
                  <c:v>43.399999999999991</c:v>
                </c:pt>
                <c:pt idx="57">
                  <c:v>43.399999999999991</c:v>
                </c:pt>
                <c:pt idx="58">
                  <c:v>43.999999999999993</c:v>
                </c:pt>
                <c:pt idx="59">
                  <c:v>48.099999999999994</c:v>
                </c:pt>
                <c:pt idx="60">
                  <c:v>52.199999999999996</c:v>
                </c:pt>
                <c:pt idx="61">
                  <c:v>52.499999999999993</c:v>
                </c:pt>
                <c:pt idx="62">
                  <c:v>52.599999999999994</c:v>
                </c:pt>
                <c:pt idx="63">
                  <c:v>52.8</c:v>
                </c:pt>
                <c:pt idx="64">
                  <c:v>53</c:v>
                </c:pt>
                <c:pt idx="65">
                  <c:v>53.1</c:v>
                </c:pt>
                <c:pt idx="66">
                  <c:v>53.1</c:v>
                </c:pt>
                <c:pt idx="67">
                  <c:v>53.1</c:v>
                </c:pt>
                <c:pt idx="68">
                  <c:v>53.1</c:v>
                </c:pt>
                <c:pt idx="69">
                  <c:v>53.1</c:v>
                </c:pt>
                <c:pt idx="70">
                  <c:v>53.1</c:v>
                </c:pt>
                <c:pt idx="71">
                  <c:v>53.1</c:v>
                </c:pt>
                <c:pt idx="72">
                  <c:v>53.1</c:v>
                </c:pt>
                <c:pt idx="73">
                  <c:v>53.1</c:v>
                </c:pt>
                <c:pt idx="74">
                  <c:v>53.1</c:v>
                </c:pt>
                <c:pt idx="75">
                  <c:v>53.1</c:v>
                </c:pt>
                <c:pt idx="76">
                  <c:v>53.1</c:v>
                </c:pt>
                <c:pt idx="77">
                  <c:v>53.1</c:v>
                </c:pt>
                <c:pt idx="78">
                  <c:v>53.1</c:v>
                </c:pt>
                <c:pt idx="79">
                  <c:v>53.1</c:v>
                </c:pt>
                <c:pt idx="80">
                  <c:v>53.1</c:v>
                </c:pt>
                <c:pt idx="81">
                  <c:v>53.1</c:v>
                </c:pt>
                <c:pt idx="82">
                  <c:v>53.1</c:v>
                </c:pt>
                <c:pt idx="83">
                  <c:v>64.099999999999994</c:v>
                </c:pt>
                <c:pt idx="84">
                  <c:v>68</c:v>
                </c:pt>
                <c:pt idx="85">
                  <c:v>74.3</c:v>
                </c:pt>
                <c:pt idx="86">
                  <c:v>80.2</c:v>
                </c:pt>
                <c:pt idx="87">
                  <c:v>91.4</c:v>
                </c:pt>
                <c:pt idx="88">
                  <c:v>101.10000000000001</c:v>
                </c:pt>
                <c:pt idx="89">
                  <c:v>109.00000000000001</c:v>
                </c:pt>
                <c:pt idx="90">
                  <c:v>109.10000000000001</c:v>
                </c:pt>
                <c:pt idx="91">
                  <c:v>109.2</c:v>
                </c:pt>
                <c:pt idx="92">
                  <c:v>119.3</c:v>
                </c:pt>
                <c:pt idx="93">
                  <c:v>132.30000000000001</c:v>
                </c:pt>
                <c:pt idx="94">
                  <c:v>137.4</c:v>
                </c:pt>
                <c:pt idx="95">
                  <c:v>145.4</c:v>
                </c:pt>
                <c:pt idx="96">
                  <c:v>151</c:v>
                </c:pt>
                <c:pt idx="97">
                  <c:v>151.30000000000001</c:v>
                </c:pt>
                <c:pt idx="98">
                  <c:v>151.80000000000001</c:v>
                </c:pt>
                <c:pt idx="99">
                  <c:v>152.30000000000001</c:v>
                </c:pt>
                <c:pt idx="100">
                  <c:v>164.10000000000002</c:v>
                </c:pt>
                <c:pt idx="101">
                  <c:v>180.00000000000003</c:v>
                </c:pt>
                <c:pt idx="102">
                  <c:v>187.20000000000002</c:v>
                </c:pt>
                <c:pt idx="103">
                  <c:v>194.3</c:v>
                </c:pt>
                <c:pt idx="104">
                  <c:v>206.70000000000002</c:v>
                </c:pt>
                <c:pt idx="105">
                  <c:v>213.20000000000002</c:v>
                </c:pt>
                <c:pt idx="106">
                  <c:v>217.9</c:v>
                </c:pt>
                <c:pt idx="107">
                  <c:v>229.20000000000002</c:v>
                </c:pt>
                <c:pt idx="108">
                  <c:v>236.60000000000002</c:v>
                </c:pt>
                <c:pt idx="109">
                  <c:v>243.00000000000003</c:v>
                </c:pt>
                <c:pt idx="110">
                  <c:v>247.40000000000003</c:v>
                </c:pt>
                <c:pt idx="111">
                  <c:v>251.40000000000003</c:v>
                </c:pt>
                <c:pt idx="112">
                  <c:v>263.10000000000002</c:v>
                </c:pt>
                <c:pt idx="113">
                  <c:v>266.70000000000005</c:v>
                </c:pt>
                <c:pt idx="114">
                  <c:v>286.10000000000002</c:v>
                </c:pt>
                <c:pt idx="115">
                  <c:v>310.40000000000003</c:v>
                </c:pt>
                <c:pt idx="116">
                  <c:v>327.50000000000006</c:v>
                </c:pt>
                <c:pt idx="117">
                  <c:v>472.70000000000005</c:v>
                </c:pt>
                <c:pt idx="118">
                  <c:v>487.00000000000006</c:v>
                </c:pt>
                <c:pt idx="119">
                  <c:v>514.5</c:v>
                </c:pt>
                <c:pt idx="120">
                  <c:v>534.29999999999995</c:v>
                </c:pt>
                <c:pt idx="121">
                  <c:v>534.69999999999993</c:v>
                </c:pt>
                <c:pt idx="122">
                  <c:v>548.69999999999993</c:v>
                </c:pt>
                <c:pt idx="123">
                  <c:v>549.59999999999991</c:v>
                </c:pt>
                <c:pt idx="124">
                  <c:v>558.59999999999991</c:v>
                </c:pt>
                <c:pt idx="125">
                  <c:v>559.99999999999989</c:v>
                </c:pt>
                <c:pt idx="126">
                  <c:v>561.99999999999989</c:v>
                </c:pt>
                <c:pt idx="127">
                  <c:v>577.49999999999989</c:v>
                </c:pt>
                <c:pt idx="128">
                  <c:v>583.79999999999984</c:v>
                </c:pt>
                <c:pt idx="129">
                  <c:v>584.0999999999998</c:v>
                </c:pt>
                <c:pt idx="130">
                  <c:v>586.29999999999984</c:v>
                </c:pt>
                <c:pt idx="131">
                  <c:v>612.39999999999986</c:v>
                </c:pt>
                <c:pt idx="132">
                  <c:v>614.79999999999984</c:v>
                </c:pt>
                <c:pt idx="133">
                  <c:v>615.0999999999998</c:v>
                </c:pt>
                <c:pt idx="134">
                  <c:v>615.29999999999984</c:v>
                </c:pt>
                <c:pt idx="135">
                  <c:v>616.89999999999986</c:v>
                </c:pt>
                <c:pt idx="136">
                  <c:v>617.19999999999982</c:v>
                </c:pt>
                <c:pt idx="137">
                  <c:v>617.19999999999982</c:v>
                </c:pt>
                <c:pt idx="138">
                  <c:v>629.89999999999986</c:v>
                </c:pt>
                <c:pt idx="139">
                  <c:v>629.89999999999986</c:v>
                </c:pt>
                <c:pt idx="140">
                  <c:v>630.09999999999991</c:v>
                </c:pt>
                <c:pt idx="141">
                  <c:v>630.09999999999991</c:v>
                </c:pt>
                <c:pt idx="142">
                  <c:v>630.69999999999993</c:v>
                </c:pt>
                <c:pt idx="143">
                  <c:v>630.69999999999993</c:v>
                </c:pt>
                <c:pt idx="144">
                  <c:v>630.99999999999989</c:v>
                </c:pt>
                <c:pt idx="145">
                  <c:v>630.99999999999989</c:v>
                </c:pt>
                <c:pt idx="146">
                  <c:v>658.79999999999984</c:v>
                </c:pt>
                <c:pt idx="147">
                  <c:v>658.79999999999984</c:v>
                </c:pt>
                <c:pt idx="148">
                  <c:v>658.79999999999984</c:v>
                </c:pt>
                <c:pt idx="149">
                  <c:v>665.99999999999989</c:v>
                </c:pt>
                <c:pt idx="150">
                  <c:v>666.49999999999989</c:v>
                </c:pt>
                <c:pt idx="151">
                  <c:v>667.39999999999986</c:v>
                </c:pt>
                <c:pt idx="152">
                  <c:v>667.39999999999986</c:v>
                </c:pt>
                <c:pt idx="153">
                  <c:v>667.69999999999982</c:v>
                </c:pt>
                <c:pt idx="154">
                  <c:v>671.29999999999984</c:v>
                </c:pt>
                <c:pt idx="155">
                  <c:v>672.19999999999982</c:v>
                </c:pt>
                <c:pt idx="156">
                  <c:v>672.19999999999982</c:v>
                </c:pt>
                <c:pt idx="157">
                  <c:v>672.49999999999977</c:v>
                </c:pt>
                <c:pt idx="158">
                  <c:v>672.49999999999977</c:v>
                </c:pt>
                <c:pt idx="159">
                  <c:v>673.39999999999975</c:v>
                </c:pt>
                <c:pt idx="160">
                  <c:v>673.39999999999975</c:v>
                </c:pt>
                <c:pt idx="161">
                  <c:v>673.89999999999975</c:v>
                </c:pt>
                <c:pt idx="162">
                  <c:v>674.6999999999997</c:v>
                </c:pt>
                <c:pt idx="163">
                  <c:v>674.6999999999997</c:v>
                </c:pt>
                <c:pt idx="164">
                  <c:v>679.09999999999968</c:v>
                </c:pt>
                <c:pt idx="165">
                  <c:v>679.99999999999966</c:v>
                </c:pt>
                <c:pt idx="166">
                  <c:v>680.39999999999964</c:v>
                </c:pt>
                <c:pt idx="167">
                  <c:v>680.79999999999961</c:v>
                </c:pt>
                <c:pt idx="168">
                  <c:v>685.59999999999957</c:v>
                </c:pt>
                <c:pt idx="169">
                  <c:v>685.59999999999957</c:v>
                </c:pt>
                <c:pt idx="170">
                  <c:v>685.89999999999952</c:v>
                </c:pt>
                <c:pt idx="171">
                  <c:v>685.89999999999952</c:v>
                </c:pt>
                <c:pt idx="172">
                  <c:v>834.59999999999945</c:v>
                </c:pt>
                <c:pt idx="173">
                  <c:v>834.59999999999945</c:v>
                </c:pt>
                <c:pt idx="174">
                  <c:v>834.59999999999945</c:v>
                </c:pt>
                <c:pt idx="175">
                  <c:v>834.59999999999945</c:v>
                </c:pt>
                <c:pt idx="176">
                  <c:v>834.59999999999945</c:v>
                </c:pt>
                <c:pt idx="177">
                  <c:v>834.59999999999945</c:v>
                </c:pt>
                <c:pt idx="178">
                  <c:v>834.59999999999945</c:v>
                </c:pt>
                <c:pt idx="179">
                  <c:v>834.59999999999945</c:v>
                </c:pt>
                <c:pt idx="180">
                  <c:v>834.59999999999945</c:v>
                </c:pt>
                <c:pt idx="181">
                  <c:v>834.59999999999945</c:v>
                </c:pt>
                <c:pt idx="182">
                  <c:v>834.89999999999941</c:v>
                </c:pt>
                <c:pt idx="183">
                  <c:v>834.89999999999941</c:v>
                </c:pt>
                <c:pt idx="184">
                  <c:v>834.89999999999941</c:v>
                </c:pt>
                <c:pt idx="185">
                  <c:v>834.89999999999941</c:v>
                </c:pt>
                <c:pt idx="186">
                  <c:v>834.89999999999941</c:v>
                </c:pt>
                <c:pt idx="187">
                  <c:v>834.89999999999941</c:v>
                </c:pt>
                <c:pt idx="188">
                  <c:v>834.89999999999941</c:v>
                </c:pt>
                <c:pt idx="189">
                  <c:v>834.99999999999943</c:v>
                </c:pt>
                <c:pt idx="190">
                  <c:v>834.99999999999943</c:v>
                </c:pt>
                <c:pt idx="191">
                  <c:v>835.29999999999939</c:v>
                </c:pt>
                <c:pt idx="192">
                  <c:v>835.29999999999939</c:v>
                </c:pt>
                <c:pt idx="193">
                  <c:v>835.29999999999939</c:v>
                </c:pt>
                <c:pt idx="194">
                  <c:v>835.29999999999939</c:v>
                </c:pt>
                <c:pt idx="195">
                  <c:v>835.29999999999939</c:v>
                </c:pt>
                <c:pt idx="196">
                  <c:v>835.29999999999939</c:v>
                </c:pt>
                <c:pt idx="197">
                  <c:v>835.69999999999936</c:v>
                </c:pt>
                <c:pt idx="198">
                  <c:v>837.79999999999939</c:v>
                </c:pt>
                <c:pt idx="199">
                  <c:v>837.79999999999939</c:v>
                </c:pt>
                <c:pt idx="200">
                  <c:v>837.79999999999939</c:v>
                </c:pt>
                <c:pt idx="201">
                  <c:v>843.09999999999934</c:v>
                </c:pt>
                <c:pt idx="202">
                  <c:v>845.09999999999934</c:v>
                </c:pt>
                <c:pt idx="203">
                  <c:v>847.3999999999993</c:v>
                </c:pt>
                <c:pt idx="204">
                  <c:v>847.3999999999993</c:v>
                </c:pt>
                <c:pt idx="205">
                  <c:v>847.3999999999993</c:v>
                </c:pt>
                <c:pt idx="206">
                  <c:v>855.69999999999925</c:v>
                </c:pt>
                <c:pt idx="207">
                  <c:v>864.9999999999992</c:v>
                </c:pt>
                <c:pt idx="208">
                  <c:v>874.19999999999925</c:v>
                </c:pt>
                <c:pt idx="209">
                  <c:v>891.79999999999927</c:v>
                </c:pt>
                <c:pt idx="210">
                  <c:v>894.3999999999993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1.5</c:v>
                </c:pt>
                <c:pt idx="217">
                  <c:v>1.6</c:v>
                </c:pt>
                <c:pt idx="218">
                  <c:v>1.6</c:v>
                </c:pt>
                <c:pt idx="219">
                  <c:v>1.6</c:v>
                </c:pt>
                <c:pt idx="220">
                  <c:v>1.6</c:v>
                </c:pt>
                <c:pt idx="221">
                  <c:v>1.6</c:v>
                </c:pt>
                <c:pt idx="222">
                  <c:v>1.6</c:v>
                </c:pt>
                <c:pt idx="223">
                  <c:v>1.7000000000000002</c:v>
                </c:pt>
                <c:pt idx="224">
                  <c:v>1.8000000000000003</c:v>
                </c:pt>
                <c:pt idx="225">
                  <c:v>2.0000000000000004</c:v>
                </c:pt>
                <c:pt idx="226">
                  <c:v>2.0000000000000004</c:v>
                </c:pt>
                <c:pt idx="227">
                  <c:v>5.8000000000000007</c:v>
                </c:pt>
                <c:pt idx="228">
                  <c:v>5.8000000000000007</c:v>
                </c:pt>
                <c:pt idx="229">
                  <c:v>5.8000000000000007</c:v>
                </c:pt>
                <c:pt idx="230">
                  <c:v>6.6000000000000005</c:v>
                </c:pt>
                <c:pt idx="231">
                  <c:v>6.6000000000000005</c:v>
                </c:pt>
                <c:pt idx="232">
                  <c:v>11.9</c:v>
                </c:pt>
                <c:pt idx="233">
                  <c:v>11.9</c:v>
                </c:pt>
                <c:pt idx="234">
                  <c:v>14.9</c:v>
                </c:pt>
                <c:pt idx="235">
                  <c:v>14.9</c:v>
                </c:pt>
                <c:pt idx="236">
                  <c:v>14.9</c:v>
                </c:pt>
                <c:pt idx="237">
                  <c:v>14.9</c:v>
                </c:pt>
                <c:pt idx="238">
                  <c:v>18.100000000000001</c:v>
                </c:pt>
                <c:pt idx="239">
                  <c:v>18.200000000000003</c:v>
                </c:pt>
                <c:pt idx="240">
                  <c:v>18.300000000000004</c:v>
                </c:pt>
                <c:pt idx="241">
                  <c:v>18.600000000000005</c:v>
                </c:pt>
                <c:pt idx="242">
                  <c:v>18.600000000000005</c:v>
                </c:pt>
                <c:pt idx="243">
                  <c:v>20.100000000000005</c:v>
                </c:pt>
                <c:pt idx="244">
                  <c:v>21.200000000000006</c:v>
                </c:pt>
                <c:pt idx="245">
                  <c:v>21.200000000000006</c:v>
                </c:pt>
                <c:pt idx="246">
                  <c:v>21.200000000000006</c:v>
                </c:pt>
                <c:pt idx="247">
                  <c:v>21.800000000000008</c:v>
                </c:pt>
                <c:pt idx="248">
                  <c:v>24.900000000000009</c:v>
                </c:pt>
                <c:pt idx="249">
                  <c:v>26.500000000000011</c:v>
                </c:pt>
                <c:pt idx="250">
                  <c:v>27.70000000000001</c:v>
                </c:pt>
                <c:pt idx="251">
                  <c:v>28.20000000000001</c:v>
                </c:pt>
                <c:pt idx="252">
                  <c:v>28.500000000000011</c:v>
                </c:pt>
                <c:pt idx="253">
                  <c:v>28.900000000000009</c:v>
                </c:pt>
                <c:pt idx="254">
                  <c:v>28.900000000000009</c:v>
                </c:pt>
                <c:pt idx="255">
                  <c:v>29.800000000000008</c:v>
                </c:pt>
                <c:pt idx="256">
                  <c:v>31.300000000000008</c:v>
                </c:pt>
                <c:pt idx="257">
                  <c:v>31.400000000000009</c:v>
                </c:pt>
                <c:pt idx="258">
                  <c:v>31.400000000000009</c:v>
                </c:pt>
                <c:pt idx="259">
                  <c:v>31.800000000000008</c:v>
                </c:pt>
                <c:pt idx="260">
                  <c:v>32.100000000000009</c:v>
                </c:pt>
                <c:pt idx="261">
                  <c:v>33.900000000000006</c:v>
                </c:pt>
                <c:pt idx="262">
                  <c:v>33.900000000000006</c:v>
                </c:pt>
                <c:pt idx="263">
                  <c:v>33.900000000000006</c:v>
                </c:pt>
                <c:pt idx="264">
                  <c:v>34.700000000000003</c:v>
                </c:pt>
                <c:pt idx="265">
                  <c:v>34.800000000000004</c:v>
                </c:pt>
                <c:pt idx="266">
                  <c:v>35.1</c:v>
                </c:pt>
                <c:pt idx="267">
                  <c:v>35.1</c:v>
                </c:pt>
                <c:pt idx="268">
                  <c:v>35.300000000000004</c:v>
                </c:pt>
                <c:pt idx="269">
                  <c:v>35.300000000000004</c:v>
                </c:pt>
                <c:pt idx="270">
                  <c:v>40.300000000000004</c:v>
                </c:pt>
                <c:pt idx="271">
                  <c:v>40.300000000000004</c:v>
                </c:pt>
                <c:pt idx="272">
                  <c:v>40.300000000000004</c:v>
                </c:pt>
                <c:pt idx="273">
                  <c:v>40.300000000000004</c:v>
                </c:pt>
                <c:pt idx="274">
                  <c:v>40.300000000000004</c:v>
                </c:pt>
                <c:pt idx="275">
                  <c:v>40.300000000000004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42.5</c:v>
                </c:pt>
                <c:pt idx="295">
                  <c:v>42.6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42.6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42.6</c:v>
                </c:pt>
                <c:pt idx="398">
                  <c:v>42.6</c:v>
                </c:pt>
                <c:pt idx="399">
                  <c:v>42.6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42.6</c:v>
                </c:pt>
                <c:pt idx="406">
                  <c:v>42.800000000000004</c:v>
                </c:pt>
                <c:pt idx="407">
                  <c:v>42.800000000000004</c:v>
                </c:pt>
                <c:pt idx="408">
                  <c:v>42.800000000000004</c:v>
                </c:pt>
                <c:pt idx="409">
                  <c:v>42.800000000000004</c:v>
                </c:pt>
                <c:pt idx="410">
                  <c:v>42.800000000000004</c:v>
                </c:pt>
                <c:pt idx="411">
                  <c:v>42.800000000000004</c:v>
                </c:pt>
                <c:pt idx="412">
                  <c:v>42.800000000000004</c:v>
                </c:pt>
                <c:pt idx="413">
                  <c:v>42.800000000000004</c:v>
                </c:pt>
                <c:pt idx="414">
                  <c:v>42.800000000000004</c:v>
                </c:pt>
                <c:pt idx="415">
                  <c:v>42.800000000000004</c:v>
                </c:pt>
                <c:pt idx="416">
                  <c:v>42.800000000000004</c:v>
                </c:pt>
                <c:pt idx="417">
                  <c:v>42.800000000000004</c:v>
                </c:pt>
                <c:pt idx="418">
                  <c:v>42.800000000000004</c:v>
                </c:pt>
                <c:pt idx="419">
                  <c:v>42.800000000000004</c:v>
                </c:pt>
                <c:pt idx="420">
                  <c:v>42.800000000000004</c:v>
                </c:pt>
                <c:pt idx="421">
                  <c:v>43.400000000000006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44.2</c:v>
                </c:pt>
                <c:pt idx="426">
                  <c:v>44.2</c:v>
                </c:pt>
                <c:pt idx="427">
                  <c:v>44.2</c:v>
                </c:pt>
                <c:pt idx="428">
                  <c:v>44.2</c:v>
                </c:pt>
                <c:pt idx="429">
                  <c:v>44.2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48.800000000000004</c:v>
                </c:pt>
                <c:pt idx="434">
                  <c:v>48.800000000000004</c:v>
                </c:pt>
                <c:pt idx="435">
                  <c:v>48.800000000000004</c:v>
                </c:pt>
                <c:pt idx="436">
                  <c:v>48.800000000000004</c:v>
                </c:pt>
                <c:pt idx="437">
                  <c:v>48.800000000000004</c:v>
                </c:pt>
                <c:pt idx="438">
                  <c:v>48.800000000000004</c:v>
                </c:pt>
                <c:pt idx="439">
                  <c:v>48.800000000000004</c:v>
                </c:pt>
                <c:pt idx="440">
                  <c:v>48.800000000000004</c:v>
                </c:pt>
                <c:pt idx="441">
                  <c:v>48.800000000000004</c:v>
                </c:pt>
                <c:pt idx="442">
                  <c:v>48.800000000000004</c:v>
                </c:pt>
                <c:pt idx="443">
                  <c:v>48.800000000000004</c:v>
                </c:pt>
                <c:pt idx="444">
                  <c:v>48.800000000000004</c:v>
                </c:pt>
                <c:pt idx="445">
                  <c:v>48.800000000000004</c:v>
                </c:pt>
                <c:pt idx="446">
                  <c:v>48.800000000000004</c:v>
                </c:pt>
                <c:pt idx="447">
                  <c:v>49.7</c:v>
                </c:pt>
                <c:pt idx="448">
                  <c:v>49.800000000000004</c:v>
                </c:pt>
                <c:pt idx="449">
                  <c:v>49.800000000000004</c:v>
                </c:pt>
                <c:pt idx="450">
                  <c:v>49.800000000000004</c:v>
                </c:pt>
                <c:pt idx="451">
                  <c:v>49.800000000000004</c:v>
                </c:pt>
                <c:pt idx="452">
                  <c:v>49.800000000000004</c:v>
                </c:pt>
                <c:pt idx="453">
                  <c:v>49.800000000000004</c:v>
                </c:pt>
                <c:pt idx="454">
                  <c:v>49.800000000000004</c:v>
                </c:pt>
                <c:pt idx="455">
                  <c:v>49.800000000000004</c:v>
                </c:pt>
                <c:pt idx="456">
                  <c:v>49.800000000000004</c:v>
                </c:pt>
                <c:pt idx="457">
                  <c:v>49.800000000000004</c:v>
                </c:pt>
                <c:pt idx="458">
                  <c:v>49.800000000000004</c:v>
                </c:pt>
                <c:pt idx="459">
                  <c:v>49.800000000000004</c:v>
                </c:pt>
                <c:pt idx="460">
                  <c:v>51.300000000000004</c:v>
                </c:pt>
                <c:pt idx="461">
                  <c:v>51.300000000000004</c:v>
                </c:pt>
                <c:pt idx="462">
                  <c:v>51.400000000000006</c:v>
                </c:pt>
                <c:pt idx="463">
                  <c:v>51.400000000000006</c:v>
                </c:pt>
                <c:pt idx="464">
                  <c:v>51.600000000000009</c:v>
                </c:pt>
                <c:pt idx="465">
                  <c:v>51.600000000000009</c:v>
                </c:pt>
                <c:pt idx="466">
                  <c:v>51.600000000000009</c:v>
                </c:pt>
                <c:pt idx="467">
                  <c:v>52.300000000000011</c:v>
                </c:pt>
                <c:pt idx="468">
                  <c:v>53.100000000000009</c:v>
                </c:pt>
                <c:pt idx="469">
                  <c:v>53.20000000000001</c:v>
                </c:pt>
                <c:pt idx="470">
                  <c:v>53.20000000000001</c:v>
                </c:pt>
                <c:pt idx="471">
                  <c:v>53.400000000000013</c:v>
                </c:pt>
                <c:pt idx="472">
                  <c:v>53.400000000000013</c:v>
                </c:pt>
                <c:pt idx="473">
                  <c:v>54.20000000000001</c:v>
                </c:pt>
                <c:pt idx="474">
                  <c:v>54.20000000000001</c:v>
                </c:pt>
                <c:pt idx="475">
                  <c:v>54.20000000000001</c:v>
                </c:pt>
                <c:pt idx="476">
                  <c:v>54.800000000000011</c:v>
                </c:pt>
                <c:pt idx="477">
                  <c:v>56.400000000000013</c:v>
                </c:pt>
                <c:pt idx="478">
                  <c:v>56.70000000000001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17760"/>
        <c:axId val="120507776"/>
      </c:lineChart>
      <c:dateAx>
        <c:axId val="120504704"/>
        <c:scaling>
          <c:orientation val="minMax"/>
          <c:min val="41275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06240"/>
        <c:crosses val="autoZero"/>
        <c:auto val="1"/>
        <c:lblOffset val="100"/>
        <c:baseTimeUnit val="days"/>
        <c:majorUnit val="56"/>
        <c:majorTimeUnit val="days"/>
        <c:minorUnit val="28"/>
        <c:minorTimeUnit val="days"/>
      </c:dateAx>
      <c:valAx>
        <c:axId val="120506240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20504704"/>
        <c:crosses val="autoZero"/>
        <c:crossBetween val="between"/>
        <c:majorUnit val="40"/>
      </c:valAx>
      <c:valAx>
        <c:axId val="120507776"/>
        <c:scaling>
          <c:orientation val="minMax"/>
          <c:max val="3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20517760"/>
        <c:crosses val="max"/>
        <c:crossBetween val="between"/>
        <c:majorUnit val="600"/>
      </c:valAx>
      <c:dateAx>
        <c:axId val="1205177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0507776"/>
        <c:crosses val="autoZero"/>
        <c:auto val="1"/>
        <c:lblOffset val="100"/>
        <c:baseTimeUnit val="days"/>
      </c:date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5.4070586774550698E-2"/>
          <c:y val="0.2186292834890966"/>
          <c:w val="0.40828458203565554"/>
          <c:h val="0.1126661270144970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83719069939592172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Totals'!$G$18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Totals'!$F$20:$F$111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</c:numCache>
            </c:numRef>
          </c:cat>
          <c:val>
            <c:numRef>
              <c:f>'Rainfall Totals'!$G$20:$G$111</c:f>
              <c:numCache>
                <c:formatCode>0.0</c:formatCode>
                <c:ptCount val="92"/>
                <c:pt idx="1">
                  <c:v>0</c:v>
                </c:pt>
                <c:pt idx="2">
                  <c:v>43.399999999999991</c:v>
                </c:pt>
                <c:pt idx="3">
                  <c:v>9.6999999999999975</c:v>
                </c:pt>
                <c:pt idx="4">
                  <c:v>213.6</c:v>
                </c:pt>
                <c:pt idx="5">
                  <c:v>364</c:v>
                </c:pt>
                <c:pt idx="6">
                  <c:v>203.89999999999998</c:v>
                </c:pt>
                <c:pt idx="7">
                  <c:v>12.8</c:v>
                </c:pt>
                <c:pt idx="8">
                  <c:v>61.900000000000006</c:v>
                </c:pt>
                <c:pt idx="9">
                  <c:v>20.200000000000003</c:v>
                </c:pt>
                <c:pt idx="10">
                  <c:v>7.4999999999999991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</c:v>
                </c:pt>
                <c:pt idx="15">
                  <c:v>6.9</c:v>
                </c:pt>
                <c:pt idx="16">
                  <c:v>7.0000000000000009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1864960"/>
        <c:axId val="121866496"/>
      </c:barChart>
      <c:lineChart>
        <c:grouping val="standard"/>
        <c:varyColors val="0"/>
        <c:ser>
          <c:idx val="1"/>
          <c:order val="1"/>
          <c:tx>
            <c:strRef>
              <c:f>'Rainfall Totals'!$H$18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Totals'!$H$20:$H$111</c:f>
              <c:numCache>
                <c:formatCode>0.0</c:formatCode>
                <c:ptCount val="92"/>
                <c:pt idx="1">
                  <c:v>0</c:v>
                </c:pt>
                <c:pt idx="2">
                  <c:v>43.399999999999991</c:v>
                </c:pt>
                <c:pt idx="3">
                  <c:v>53.099999999999987</c:v>
                </c:pt>
                <c:pt idx="4">
                  <c:v>266.7</c:v>
                </c:pt>
                <c:pt idx="5">
                  <c:v>630.70000000000005</c:v>
                </c:pt>
                <c:pt idx="6">
                  <c:v>834.6</c:v>
                </c:pt>
                <c:pt idx="7">
                  <c:v>847.4</c:v>
                </c:pt>
                <c:pt idx="8">
                  <c:v>909.3</c:v>
                </c:pt>
                <c:pt idx="9">
                  <c:v>929.5</c:v>
                </c:pt>
                <c:pt idx="10">
                  <c:v>937</c:v>
                </c:pt>
                <c:pt idx="11">
                  <c:v>937</c:v>
                </c:pt>
                <c:pt idx="12">
                  <c:v>0</c:v>
                </c:pt>
                <c:pt idx="13">
                  <c:v>0</c:v>
                </c:pt>
                <c:pt idx="14">
                  <c:v>0.2</c:v>
                </c:pt>
                <c:pt idx="15">
                  <c:v>7.1000000000000005</c:v>
                </c:pt>
                <c:pt idx="16">
                  <c:v>14.100000000000001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78016"/>
        <c:axId val="121876480"/>
      </c:lineChart>
      <c:dateAx>
        <c:axId val="121864960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21866496"/>
        <c:crosses val="autoZero"/>
        <c:auto val="1"/>
        <c:lblOffset val="100"/>
        <c:baseTimeUnit val="months"/>
        <c:majorUnit val="2"/>
        <c:majorTimeUnit val="months"/>
      </c:dateAx>
      <c:valAx>
        <c:axId val="121866496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21864960"/>
        <c:crosses val="autoZero"/>
        <c:crossBetween val="between"/>
      </c:valAx>
      <c:valAx>
        <c:axId val="121876480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21878016"/>
        <c:crosses val="max"/>
        <c:crossBetween val="between"/>
        <c:majorUnit val="800"/>
        <c:minorUnit val="100"/>
      </c:valAx>
      <c:catAx>
        <c:axId val="121878016"/>
        <c:scaling>
          <c:orientation val="minMax"/>
        </c:scaling>
        <c:delete val="1"/>
        <c:axPos val="b"/>
        <c:majorTickMark val="out"/>
        <c:minorTickMark val="none"/>
        <c:tickLblPos val="nextTo"/>
        <c:crossAx val="12187648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3497456114839275E-2"/>
          <c:y val="0.17091243802857975"/>
          <c:w val="0.32841644794400698"/>
          <c:h val="0.1674343832020997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18</xdr:row>
      <xdr:rowOff>0</xdr:rowOff>
    </xdr:from>
    <xdr:to>
      <xdr:col>12</xdr:col>
      <xdr:colOff>447675</xdr:colOff>
      <xdr:row>28</xdr:row>
      <xdr:rowOff>133350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428624</xdr:colOff>
      <xdr:row>3</xdr:row>
      <xdr:rowOff>76200</xdr:rowOff>
    </xdr:from>
    <xdr:to>
      <xdr:col>12</xdr:col>
      <xdr:colOff>419100</xdr:colOff>
      <xdr:row>17</xdr:row>
      <xdr:rowOff>114300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7"/>
  <sheetViews>
    <sheetView workbookViewId="0">
      <selection sqref="A1:M1"/>
    </sheetView>
  </sheetViews>
  <sheetFormatPr defaultRowHeight="12" x14ac:dyDescent="0.2"/>
  <cols>
    <col min="1" max="1" width="20.42578125" style="4" customWidth="1"/>
    <col min="2" max="2" width="18.7109375" style="4" customWidth="1"/>
    <col min="3" max="3" width="12.7109375" style="4" customWidth="1"/>
    <col min="4" max="6" width="9.140625" style="4"/>
    <col min="7" max="16384" width="9.140625" style="1"/>
  </cols>
  <sheetData>
    <row r="1" spans="1:6" s="21" customFormat="1" x14ac:dyDescent="0.2">
      <c r="A1" s="34" t="s">
        <v>20</v>
      </c>
      <c r="B1" s="35" t="s">
        <v>12</v>
      </c>
      <c r="C1" s="4"/>
      <c r="D1" s="4"/>
      <c r="E1" s="4"/>
      <c r="F1" s="4"/>
    </row>
    <row r="2" spans="1:6" s="21" customFormat="1" x14ac:dyDescent="0.2">
      <c r="A2" s="34" t="s">
        <v>21</v>
      </c>
      <c r="B2" s="35" t="s">
        <v>13</v>
      </c>
      <c r="C2" s="4"/>
      <c r="D2" s="4"/>
      <c r="E2" s="4"/>
      <c r="F2" s="4"/>
    </row>
    <row r="3" spans="1:6" s="21" customFormat="1" x14ac:dyDescent="0.2">
      <c r="A3" s="34" t="s">
        <v>38</v>
      </c>
      <c r="B3" s="47">
        <v>8.6854999999999993</v>
      </c>
      <c r="C3" s="4"/>
      <c r="D3" s="4"/>
      <c r="E3" s="4"/>
      <c r="F3" s="4"/>
    </row>
    <row r="4" spans="1:6" s="21" customFormat="1" x14ac:dyDescent="0.2">
      <c r="A4" s="34" t="s">
        <v>39</v>
      </c>
      <c r="B4" s="47">
        <v>-12.168041000000001</v>
      </c>
      <c r="C4" s="4"/>
      <c r="D4" s="4"/>
      <c r="E4" s="4"/>
      <c r="F4" s="4"/>
    </row>
    <row r="5" spans="1:6" s="21" customFormat="1" x14ac:dyDescent="0.2">
      <c r="A5" s="34" t="s">
        <v>40</v>
      </c>
      <c r="B5" s="46">
        <v>60</v>
      </c>
      <c r="C5" s="4" t="s">
        <v>41</v>
      </c>
      <c r="D5" s="4"/>
      <c r="E5" s="4"/>
      <c r="F5" s="4"/>
    </row>
    <row r="6" spans="1:6" s="21" customFormat="1" x14ac:dyDescent="0.2">
      <c r="A6" s="34" t="s">
        <v>22</v>
      </c>
      <c r="B6" s="36" t="s">
        <v>23</v>
      </c>
      <c r="C6" s="4"/>
      <c r="D6" s="4"/>
      <c r="E6" s="4"/>
      <c r="F6" s="4"/>
    </row>
    <row r="7" spans="1:6" s="21" customFormat="1" x14ac:dyDescent="0.2">
      <c r="A7" s="34" t="s">
        <v>24</v>
      </c>
      <c r="B7" s="42" t="s">
        <v>36</v>
      </c>
      <c r="C7" s="4"/>
      <c r="D7" s="4"/>
      <c r="E7" s="4"/>
      <c r="F7" s="4"/>
    </row>
    <row r="8" spans="1:6" s="21" customFormat="1" x14ac:dyDescent="0.2">
      <c r="A8" s="34" t="s">
        <v>25</v>
      </c>
      <c r="B8" s="43" t="s">
        <v>37</v>
      </c>
      <c r="C8" s="4"/>
      <c r="D8" s="4"/>
      <c r="E8" s="4"/>
      <c r="F8" s="4"/>
    </row>
    <row r="9" spans="1:6" s="21" customFormat="1" x14ac:dyDescent="0.2">
      <c r="A9" s="34" t="s">
        <v>26</v>
      </c>
      <c r="B9" s="42" t="s">
        <v>27</v>
      </c>
      <c r="C9" s="4"/>
      <c r="D9" s="4"/>
      <c r="E9" s="4"/>
      <c r="F9" s="4"/>
    </row>
    <row r="10" spans="1:6" s="21" customFormat="1" x14ac:dyDescent="0.2">
      <c r="A10" s="34" t="s">
        <v>28</v>
      </c>
      <c r="B10" s="37" t="s">
        <v>29</v>
      </c>
      <c r="C10" s="4"/>
      <c r="D10" s="4"/>
      <c r="E10" s="4"/>
      <c r="F10" s="4"/>
    </row>
    <row r="11" spans="1:6" s="21" customFormat="1" x14ac:dyDescent="0.2">
      <c r="A11" s="34" t="s">
        <v>30</v>
      </c>
      <c r="B11" s="38">
        <f>+MIN(A:A)</f>
        <v>41312</v>
      </c>
      <c r="C11" s="4"/>
      <c r="D11" s="4"/>
      <c r="E11" s="4"/>
      <c r="F11" s="4"/>
    </row>
    <row r="12" spans="1:6" s="21" customFormat="1" x14ac:dyDescent="0.2">
      <c r="A12" s="34" t="s">
        <v>31</v>
      </c>
      <c r="B12" s="38">
        <f>+MAX(A:A)</f>
        <v>41790</v>
      </c>
      <c r="C12" s="4"/>
      <c r="D12" s="4"/>
      <c r="E12" s="4"/>
      <c r="F12" s="4"/>
    </row>
    <row r="13" spans="1:6" s="21" customFormat="1" x14ac:dyDescent="0.2">
      <c r="A13" s="34" t="s">
        <v>32</v>
      </c>
      <c r="B13" s="34">
        <f>+COUNT(A:A)</f>
        <v>479</v>
      </c>
      <c r="C13" s="4"/>
      <c r="D13" s="4"/>
      <c r="E13" s="4"/>
      <c r="F13" s="4"/>
    </row>
    <row r="14" spans="1:6" s="21" customFormat="1" x14ac:dyDescent="0.2">
      <c r="A14" s="34" t="s">
        <v>33</v>
      </c>
      <c r="B14" s="32" t="s">
        <v>34</v>
      </c>
      <c r="C14" s="4"/>
      <c r="D14" s="4"/>
      <c r="E14" s="4"/>
      <c r="F14" s="4"/>
    </row>
    <row r="15" spans="1:6" s="27" customFormat="1" x14ac:dyDescent="0.2">
      <c r="A15" s="4" t="s">
        <v>35</v>
      </c>
      <c r="B15" s="45" t="s">
        <v>18</v>
      </c>
      <c r="C15" s="4"/>
      <c r="D15" s="4"/>
      <c r="E15" s="4"/>
      <c r="F15" s="4"/>
    </row>
    <row r="16" spans="1:6" s="27" customFormat="1" x14ac:dyDescent="0.2">
      <c r="A16" s="4"/>
      <c r="B16" s="4"/>
      <c r="C16" s="4"/>
      <c r="D16" s="4"/>
      <c r="E16" s="4"/>
      <c r="F16" s="4"/>
    </row>
    <row r="17" spans="1:6" s="2" customFormat="1" ht="28.5" customHeight="1" x14ac:dyDescent="0.25">
      <c r="A17" s="39" t="s">
        <v>14</v>
      </c>
      <c r="B17" s="40" t="s">
        <v>15</v>
      </c>
      <c r="C17" s="40" t="s">
        <v>9</v>
      </c>
      <c r="D17" s="40"/>
      <c r="E17" s="40"/>
      <c r="F17" s="40"/>
    </row>
    <row r="18" spans="1:6" s="2" customFormat="1" x14ac:dyDescent="0.25">
      <c r="A18" s="39"/>
      <c r="B18" s="40"/>
      <c r="C18" s="40" t="s">
        <v>2</v>
      </c>
      <c r="D18" s="40"/>
      <c r="E18" s="40"/>
      <c r="F18" s="40"/>
    </row>
    <row r="19" spans="1:6" x14ac:dyDescent="0.2">
      <c r="A19" s="39">
        <v>41312</v>
      </c>
      <c r="B19" s="39">
        <v>41312</v>
      </c>
      <c r="C19" s="41">
        <v>0</v>
      </c>
    </row>
    <row r="20" spans="1:6" x14ac:dyDescent="0.2">
      <c r="A20" s="39">
        <v>41313</v>
      </c>
      <c r="B20" s="39">
        <v>41313</v>
      </c>
      <c r="C20" s="41">
        <v>0</v>
      </c>
    </row>
    <row r="21" spans="1:6" x14ac:dyDescent="0.2">
      <c r="A21" s="39">
        <v>41314</v>
      </c>
      <c r="B21" s="39">
        <v>41314</v>
      </c>
      <c r="C21" s="41">
        <v>0</v>
      </c>
    </row>
    <row r="22" spans="1:6" x14ac:dyDescent="0.2">
      <c r="A22" s="39">
        <v>41315</v>
      </c>
      <c r="B22" s="39">
        <v>41315</v>
      </c>
      <c r="C22" s="41">
        <v>0</v>
      </c>
    </row>
    <row r="23" spans="1:6" x14ac:dyDescent="0.2">
      <c r="A23" s="39">
        <v>41316</v>
      </c>
      <c r="B23" s="39">
        <v>41316</v>
      </c>
      <c r="C23" s="41">
        <v>0</v>
      </c>
    </row>
    <row r="24" spans="1:6" x14ac:dyDescent="0.2">
      <c r="A24" s="39">
        <v>41317</v>
      </c>
      <c r="B24" s="39">
        <v>41317</v>
      </c>
      <c r="C24" s="41">
        <v>0</v>
      </c>
    </row>
    <row r="25" spans="1:6" x14ac:dyDescent="0.2">
      <c r="A25" s="39">
        <v>41318</v>
      </c>
      <c r="B25" s="39">
        <v>41318</v>
      </c>
      <c r="C25" s="41">
        <v>0</v>
      </c>
    </row>
    <row r="26" spans="1:6" x14ac:dyDescent="0.2">
      <c r="A26" s="39">
        <v>41319</v>
      </c>
      <c r="B26" s="39">
        <v>41319</v>
      </c>
      <c r="C26" s="41">
        <v>0</v>
      </c>
    </row>
    <row r="27" spans="1:6" x14ac:dyDescent="0.2">
      <c r="A27" s="39">
        <v>41320</v>
      </c>
      <c r="B27" s="39">
        <v>41320</v>
      </c>
      <c r="C27" s="41" t="s">
        <v>16</v>
      </c>
    </row>
    <row r="28" spans="1:6" x14ac:dyDescent="0.2">
      <c r="A28" s="39">
        <v>41321</v>
      </c>
      <c r="B28" s="39">
        <v>41321</v>
      </c>
      <c r="C28" s="41">
        <v>0</v>
      </c>
    </row>
    <row r="29" spans="1:6" x14ac:dyDescent="0.2">
      <c r="A29" s="39">
        <v>41322</v>
      </c>
      <c r="B29" s="39">
        <v>41322</v>
      </c>
      <c r="C29" s="41">
        <v>0</v>
      </c>
    </row>
    <row r="30" spans="1:6" x14ac:dyDescent="0.2">
      <c r="A30" s="39">
        <v>41323</v>
      </c>
      <c r="B30" s="39">
        <v>41323</v>
      </c>
      <c r="C30" s="41">
        <v>0</v>
      </c>
    </row>
    <row r="31" spans="1:6" x14ac:dyDescent="0.2">
      <c r="A31" s="39">
        <v>41324</v>
      </c>
      <c r="B31" s="39">
        <v>41324</v>
      </c>
      <c r="C31" s="41">
        <v>0</v>
      </c>
    </row>
    <row r="32" spans="1:6" x14ac:dyDescent="0.2">
      <c r="A32" s="39">
        <v>41325</v>
      </c>
      <c r="B32" s="39">
        <v>41325</v>
      </c>
      <c r="C32" s="41">
        <v>0</v>
      </c>
    </row>
    <row r="33" spans="1:3" x14ac:dyDescent="0.2">
      <c r="A33" s="39">
        <v>41326</v>
      </c>
      <c r="B33" s="39">
        <v>41326</v>
      </c>
      <c r="C33" s="41">
        <v>0</v>
      </c>
    </row>
    <row r="34" spans="1:3" x14ac:dyDescent="0.2">
      <c r="A34" s="39">
        <v>41327</v>
      </c>
      <c r="B34" s="39">
        <v>41327</v>
      </c>
      <c r="C34" s="41">
        <v>0</v>
      </c>
    </row>
    <row r="35" spans="1:3" x14ac:dyDescent="0.2">
      <c r="A35" s="39">
        <v>41328</v>
      </c>
      <c r="B35" s="39">
        <v>41328</v>
      </c>
      <c r="C35" s="41">
        <v>0</v>
      </c>
    </row>
    <row r="36" spans="1:3" x14ac:dyDescent="0.2">
      <c r="A36" s="39">
        <v>41329</v>
      </c>
      <c r="B36" s="39">
        <v>41329</v>
      </c>
      <c r="C36" s="41">
        <v>0</v>
      </c>
    </row>
    <row r="37" spans="1:3" x14ac:dyDescent="0.2">
      <c r="A37" s="39">
        <v>41330</v>
      </c>
      <c r="B37" s="39">
        <v>41330</v>
      </c>
      <c r="C37" s="41">
        <v>0</v>
      </c>
    </row>
    <row r="38" spans="1:3" x14ac:dyDescent="0.2">
      <c r="A38" s="39">
        <v>41331</v>
      </c>
      <c r="B38" s="39">
        <v>41331</v>
      </c>
      <c r="C38" s="41">
        <v>0</v>
      </c>
    </row>
    <row r="39" spans="1:3" x14ac:dyDescent="0.2">
      <c r="A39" s="39">
        <v>41332</v>
      </c>
      <c r="B39" s="39">
        <v>41332</v>
      </c>
      <c r="C39" s="41">
        <v>0</v>
      </c>
    </row>
    <row r="40" spans="1:3" x14ac:dyDescent="0.2">
      <c r="A40" s="39">
        <v>41333</v>
      </c>
      <c r="B40" s="39">
        <v>41333</v>
      </c>
      <c r="C40" s="41">
        <v>0</v>
      </c>
    </row>
    <row r="41" spans="1:3" x14ac:dyDescent="0.2">
      <c r="A41" s="39">
        <v>41334</v>
      </c>
      <c r="B41" s="39">
        <v>41334</v>
      </c>
      <c r="C41" s="41">
        <v>0</v>
      </c>
    </row>
    <row r="42" spans="1:3" x14ac:dyDescent="0.2">
      <c r="A42" s="39">
        <v>41335</v>
      </c>
      <c r="B42" s="39">
        <v>41335</v>
      </c>
      <c r="C42" s="41">
        <v>0</v>
      </c>
    </row>
    <row r="43" spans="1:3" x14ac:dyDescent="0.2">
      <c r="A43" s="39">
        <v>41336</v>
      </c>
      <c r="B43" s="39">
        <v>41336</v>
      </c>
      <c r="C43" s="41">
        <v>0</v>
      </c>
    </row>
    <row r="44" spans="1:3" x14ac:dyDescent="0.2">
      <c r="A44" s="39">
        <v>41337</v>
      </c>
      <c r="B44" s="39">
        <v>41337</v>
      </c>
      <c r="C44" s="41">
        <v>0</v>
      </c>
    </row>
    <row r="45" spans="1:3" x14ac:dyDescent="0.2">
      <c r="A45" s="39">
        <v>41338</v>
      </c>
      <c r="B45" s="39">
        <v>41338</v>
      </c>
      <c r="C45" s="41">
        <v>0</v>
      </c>
    </row>
    <row r="46" spans="1:3" x14ac:dyDescent="0.2">
      <c r="A46" s="39">
        <v>41339</v>
      </c>
      <c r="B46" s="39">
        <v>41339</v>
      </c>
      <c r="C46" s="41">
        <v>0</v>
      </c>
    </row>
    <row r="47" spans="1:3" x14ac:dyDescent="0.2">
      <c r="A47" s="39">
        <v>41340</v>
      </c>
      <c r="B47" s="39">
        <v>41340</v>
      </c>
      <c r="C47" s="41">
        <v>0</v>
      </c>
    </row>
    <row r="48" spans="1:3" x14ac:dyDescent="0.2">
      <c r="A48" s="39">
        <v>41341</v>
      </c>
      <c r="B48" s="39">
        <v>41341</v>
      </c>
      <c r="C48" s="41">
        <v>0</v>
      </c>
    </row>
    <row r="49" spans="1:3" x14ac:dyDescent="0.2">
      <c r="A49" s="39">
        <v>41342</v>
      </c>
      <c r="B49" s="39">
        <v>41342</v>
      </c>
      <c r="C49" s="41">
        <v>0</v>
      </c>
    </row>
    <row r="50" spans="1:3" x14ac:dyDescent="0.2">
      <c r="A50" s="39">
        <v>41343</v>
      </c>
      <c r="B50" s="39">
        <v>41343</v>
      </c>
      <c r="C50" s="41">
        <v>0</v>
      </c>
    </row>
    <row r="51" spans="1:3" x14ac:dyDescent="0.2">
      <c r="A51" s="39">
        <v>41344</v>
      </c>
      <c r="B51" s="39">
        <v>41344</v>
      </c>
      <c r="C51" s="41">
        <v>0</v>
      </c>
    </row>
    <row r="52" spans="1:3" x14ac:dyDescent="0.2">
      <c r="A52" s="39">
        <v>41345</v>
      </c>
      <c r="B52" s="39">
        <v>41345</v>
      </c>
      <c r="C52" s="41">
        <v>1.7</v>
      </c>
    </row>
    <row r="53" spans="1:3" x14ac:dyDescent="0.2">
      <c r="A53" s="39">
        <v>41346</v>
      </c>
      <c r="B53" s="39">
        <v>41346</v>
      </c>
      <c r="C53" s="41">
        <v>14.2</v>
      </c>
    </row>
    <row r="54" spans="1:3" x14ac:dyDescent="0.2">
      <c r="A54" s="39">
        <v>41347</v>
      </c>
      <c r="B54" s="39">
        <v>41347</v>
      </c>
      <c r="C54" s="41">
        <v>15</v>
      </c>
    </row>
    <row r="55" spans="1:3" x14ac:dyDescent="0.2">
      <c r="A55" s="39">
        <v>41348</v>
      </c>
      <c r="B55" s="39">
        <v>41348</v>
      </c>
      <c r="C55" s="41">
        <v>8.6999999999999993</v>
      </c>
    </row>
    <row r="56" spans="1:3" x14ac:dyDescent="0.2">
      <c r="A56" s="39">
        <v>41349</v>
      </c>
      <c r="B56" s="39">
        <v>41349</v>
      </c>
      <c r="C56" s="41">
        <v>1.1000000000000001</v>
      </c>
    </row>
    <row r="57" spans="1:3" x14ac:dyDescent="0.2">
      <c r="A57" s="39">
        <v>41350</v>
      </c>
      <c r="B57" s="39">
        <v>41350</v>
      </c>
      <c r="C57" s="41">
        <v>0.1</v>
      </c>
    </row>
    <row r="58" spans="1:3" x14ac:dyDescent="0.2">
      <c r="A58" s="39">
        <v>41351</v>
      </c>
      <c r="B58" s="39">
        <v>41351</v>
      </c>
      <c r="C58" s="41">
        <v>0.1</v>
      </c>
    </row>
    <row r="59" spans="1:3" x14ac:dyDescent="0.2">
      <c r="A59" s="39">
        <v>41352</v>
      </c>
      <c r="B59" s="39">
        <v>41352</v>
      </c>
      <c r="C59" s="41">
        <v>0.3</v>
      </c>
    </row>
    <row r="60" spans="1:3" x14ac:dyDescent="0.2">
      <c r="A60" s="39">
        <v>41353</v>
      </c>
      <c r="B60" s="39">
        <v>41353</v>
      </c>
      <c r="C60" s="41">
        <v>0.3</v>
      </c>
    </row>
    <row r="61" spans="1:3" x14ac:dyDescent="0.2">
      <c r="A61" s="39">
        <v>41354</v>
      </c>
      <c r="B61" s="39">
        <v>41354</v>
      </c>
      <c r="C61" s="41">
        <v>0.2</v>
      </c>
    </row>
    <row r="62" spans="1:3" x14ac:dyDescent="0.2">
      <c r="A62" s="39">
        <v>41355</v>
      </c>
      <c r="B62" s="39">
        <v>41355</v>
      </c>
      <c r="C62" s="41">
        <v>0.1</v>
      </c>
    </row>
    <row r="63" spans="1:3" x14ac:dyDescent="0.2">
      <c r="A63" s="39">
        <v>41356</v>
      </c>
      <c r="B63" s="39">
        <v>41356</v>
      </c>
      <c r="C63" s="41">
        <v>0.8</v>
      </c>
    </row>
    <row r="64" spans="1:3" x14ac:dyDescent="0.2">
      <c r="A64" s="39">
        <v>41357</v>
      </c>
      <c r="B64" s="39">
        <v>41357</v>
      </c>
      <c r="C64" s="41">
        <v>0.8</v>
      </c>
    </row>
    <row r="65" spans="1:3" x14ac:dyDescent="0.2">
      <c r="A65" s="39">
        <v>41358</v>
      </c>
      <c r="B65" s="39">
        <v>41358</v>
      </c>
      <c r="C65" s="41">
        <v>0</v>
      </c>
    </row>
    <row r="66" spans="1:3" x14ac:dyDescent="0.2">
      <c r="A66" s="39">
        <v>41359</v>
      </c>
      <c r="B66" s="39">
        <v>41359</v>
      </c>
      <c r="C66" s="41">
        <v>0</v>
      </c>
    </row>
    <row r="67" spans="1:3" x14ac:dyDescent="0.2">
      <c r="A67" s="39">
        <v>41360</v>
      </c>
      <c r="B67" s="39">
        <v>41360</v>
      </c>
      <c r="C67" s="41">
        <v>0</v>
      </c>
    </row>
    <row r="68" spans="1:3" x14ac:dyDescent="0.2">
      <c r="A68" s="39">
        <v>41361</v>
      </c>
      <c r="B68" s="39">
        <v>41361</v>
      </c>
      <c r="C68" s="41">
        <v>0</v>
      </c>
    </row>
    <row r="69" spans="1:3" x14ac:dyDescent="0.2">
      <c r="A69" s="39">
        <v>41362</v>
      </c>
      <c r="B69" s="39">
        <v>41362</v>
      </c>
      <c r="C69" s="41">
        <v>0</v>
      </c>
    </row>
    <row r="70" spans="1:3" x14ac:dyDescent="0.2">
      <c r="A70" s="39">
        <v>41363</v>
      </c>
      <c r="B70" s="39">
        <v>41363</v>
      </c>
      <c r="C70" s="41">
        <v>0</v>
      </c>
    </row>
    <row r="71" spans="1:3" x14ac:dyDescent="0.2">
      <c r="A71" s="39">
        <v>41364</v>
      </c>
      <c r="B71" s="39">
        <v>41364</v>
      </c>
      <c r="C71" s="41">
        <v>0</v>
      </c>
    </row>
    <row r="72" spans="1:3" x14ac:dyDescent="0.2">
      <c r="A72" s="39">
        <v>41365</v>
      </c>
      <c r="B72" s="39">
        <v>41365</v>
      </c>
      <c r="C72" s="41">
        <v>0</v>
      </c>
    </row>
    <row r="73" spans="1:3" x14ac:dyDescent="0.2">
      <c r="A73" s="39">
        <v>41366</v>
      </c>
      <c r="B73" s="39">
        <v>41366</v>
      </c>
      <c r="C73" s="41">
        <v>0</v>
      </c>
    </row>
    <row r="74" spans="1:3" x14ac:dyDescent="0.2">
      <c r="A74" s="39">
        <v>41367</v>
      </c>
      <c r="B74" s="39">
        <v>41367</v>
      </c>
      <c r="C74" s="41">
        <v>0</v>
      </c>
    </row>
    <row r="75" spans="1:3" x14ac:dyDescent="0.2">
      <c r="A75" s="39">
        <v>41368</v>
      </c>
      <c r="B75" s="39">
        <v>41368</v>
      </c>
      <c r="C75" s="41">
        <v>0</v>
      </c>
    </row>
    <row r="76" spans="1:3" x14ac:dyDescent="0.2">
      <c r="A76" s="39">
        <v>41369</v>
      </c>
      <c r="B76" s="39">
        <v>41369</v>
      </c>
      <c r="C76" s="41">
        <v>0</v>
      </c>
    </row>
    <row r="77" spans="1:3" x14ac:dyDescent="0.2">
      <c r="A77" s="39">
        <v>41370</v>
      </c>
      <c r="B77" s="39">
        <v>41370</v>
      </c>
      <c r="C77" s="41">
        <v>0.6</v>
      </c>
    </row>
    <row r="78" spans="1:3" x14ac:dyDescent="0.2">
      <c r="A78" s="39">
        <v>41371</v>
      </c>
      <c r="B78" s="39">
        <v>41371</v>
      </c>
      <c r="C78" s="41">
        <v>4.0999999999999996</v>
      </c>
    </row>
    <row r="79" spans="1:3" x14ac:dyDescent="0.2">
      <c r="A79" s="39">
        <v>41372</v>
      </c>
      <c r="B79" s="39">
        <v>41372</v>
      </c>
      <c r="C79" s="41">
        <v>4.0999999999999996</v>
      </c>
    </row>
    <row r="80" spans="1:3" x14ac:dyDescent="0.2">
      <c r="A80" s="39">
        <v>41373</v>
      </c>
      <c r="B80" s="39">
        <v>41373</v>
      </c>
      <c r="C80" s="41">
        <v>0.3</v>
      </c>
    </row>
    <row r="81" spans="1:3" x14ac:dyDescent="0.2">
      <c r="A81" s="39">
        <v>41374</v>
      </c>
      <c r="B81" s="39">
        <v>41374</v>
      </c>
      <c r="C81" s="41">
        <v>0.1</v>
      </c>
    </row>
    <row r="82" spans="1:3" x14ac:dyDescent="0.2">
      <c r="A82" s="39">
        <v>41375</v>
      </c>
      <c r="B82" s="39">
        <v>41375</v>
      </c>
      <c r="C82" s="41">
        <v>0.2</v>
      </c>
    </row>
    <row r="83" spans="1:3" x14ac:dyDescent="0.2">
      <c r="A83" s="39">
        <v>41376</v>
      </c>
      <c r="B83" s="39">
        <v>41376</v>
      </c>
      <c r="C83" s="41">
        <v>0.2</v>
      </c>
    </row>
    <row r="84" spans="1:3" x14ac:dyDescent="0.2">
      <c r="A84" s="39">
        <v>41377</v>
      </c>
      <c r="B84" s="39">
        <v>41377</v>
      </c>
      <c r="C84" s="41">
        <v>0.1</v>
      </c>
    </row>
    <row r="85" spans="1:3" x14ac:dyDescent="0.2">
      <c r="A85" s="39">
        <v>41378</v>
      </c>
      <c r="B85" s="39">
        <v>41378</v>
      </c>
      <c r="C85" s="41">
        <v>0</v>
      </c>
    </row>
    <row r="86" spans="1:3" x14ac:dyDescent="0.2">
      <c r="A86" s="39">
        <v>41379</v>
      </c>
      <c r="B86" s="39">
        <v>41379</v>
      </c>
      <c r="C86" s="41">
        <v>0</v>
      </c>
    </row>
    <row r="87" spans="1:3" x14ac:dyDescent="0.2">
      <c r="A87" s="39">
        <v>41380</v>
      </c>
      <c r="B87" s="39">
        <v>41380</v>
      </c>
      <c r="C87" s="41">
        <v>0</v>
      </c>
    </row>
    <row r="88" spans="1:3" x14ac:dyDescent="0.2">
      <c r="A88" s="39">
        <v>41381</v>
      </c>
      <c r="B88" s="39">
        <v>41381</v>
      </c>
      <c r="C88" s="41">
        <v>0</v>
      </c>
    </row>
    <row r="89" spans="1:3" x14ac:dyDescent="0.2">
      <c r="A89" s="39">
        <v>41382</v>
      </c>
      <c r="B89" s="39">
        <v>41382</v>
      </c>
      <c r="C89" s="41">
        <v>0</v>
      </c>
    </row>
    <row r="90" spans="1:3" x14ac:dyDescent="0.2">
      <c r="A90" s="39">
        <v>41383</v>
      </c>
      <c r="B90" s="39">
        <v>41383</v>
      </c>
      <c r="C90" s="41">
        <v>0</v>
      </c>
    </row>
    <row r="91" spans="1:3" x14ac:dyDescent="0.2">
      <c r="A91" s="39">
        <v>41384</v>
      </c>
      <c r="B91" s="39">
        <v>41384</v>
      </c>
      <c r="C91" s="41">
        <v>0</v>
      </c>
    </row>
    <row r="92" spans="1:3" x14ac:dyDescent="0.2">
      <c r="A92" s="39">
        <v>41385</v>
      </c>
      <c r="B92" s="39">
        <v>41385</v>
      </c>
      <c r="C92" s="41">
        <v>0</v>
      </c>
    </row>
    <row r="93" spans="1:3" x14ac:dyDescent="0.2">
      <c r="A93" s="39">
        <v>41386</v>
      </c>
      <c r="B93" s="39">
        <v>41386</v>
      </c>
      <c r="C93" s="41">
        <v>0</v>
      </c>
    </row>
    <row r="94" spans="1:3" x14ac:dyDescent="0.2">
      <c r="A94" s="39">
        <v>41387</v>
      </c>
      <c r="B94" s="39">
        <v>41387</v>
      </c>
      <c r="C94" s="41">
        <v>0</v>
      </c>
    </row>
    <row r="95" spans="1:3" x14ac:dyDescent="0.2">
      <c r="A95" s="39">
        <v>41388</v>
      </c>
      <c r="B95" s="39">
        <v>41388</v>
      </c>
      <c r="C95" s="41">
        <v>0</v>
      </c>
    </row>
    <row r="96" spans="1:3" x14ac:dyDescent="0.2">
      <c r="A96" s="39">
        <v>41389</v>
      </c>
      <c r="B96" s="39">
        <v>41389</v>
      </c>
      <c r="C96" s="41">
        <v>0</v>
      </c>
    </row>
    <row r="97" spans="1:3" x14ac:dyDescent="0.2">
      <c r="A97" s="39">
        <v>41390</v>
      </c>
      <c r="B97" s="39">
        <v>41390</v>
      </c>
      <c r="C97" s="41">
        <v>0</v>
      </c>
    </row>
    <row r="98" spans="1:3" x14ac:dyDescent="0.2">
      <c r="A98" s="39">
        <v>41391</v>
      </c>
      <c r="B98" s="39">
        <v>41391</v>
      </c>
      <c r="C98" s="41">
        <v>0</v>
      </c>
    </row>
    <row r="99" spans="1:3" x14ac:dyDescent="0.2">
      <c r="A99" s="39">
        <v>41392</v>
      </c>
      <c r="B99" s="39">
        <v>41392</v>
      </c>
      <c r="C99" s="41">
        <v>0</v>
      </c>
    </row>
    <row r="100" spans="1:3" x14ac:dyDescent="0.2">
      <c r="A100" s="39">
        <v>41393</v>
      </c>
      <c r="B100" s="39">
        <v>41393</v>
      </c>
      <c r="C100" s="41">
        <v>0</v>
      </c>
    </row>
    <row r="101" spans="1:3" x14ac:dyDescent="0.2">
      <c r="A101" s="39">
        <v>41394</v>
      </c>
      <c r="B101" s="39">
        <v>41394</v>
      </c>
      <c r="C101" s="41">
        <v>0</v>
      </c>
    </row>
    <row r="102" spans="1:3" x14ac:dyDescent="0.2">
      <c r="A102" s="39">
        <v>41395</v>
      </c>
      <c r="B102" s="39">
        <v>41395</v>
      </c>
      <c r="C102" s="41">
        <v>11</v>
      </c>
    </row>
    <row r="103" spans="1:3" x14ac:dyDescent="0.2">
      <c r="A103" s="39">
        <v>41396</v>
      </c>
      <c r="B103" s="39">
        <v>41396</v>
      </c>
      <c r="C103" s="41">
        <v>3.9</v>
      </c>
    </row>
    <row r="104" spans="1:3" x14ac:dyDescent="0.2">
      <c r="A104" s="39">
        <v>41397</v>
      </c>
      <c r="B104" s="39">
        <v>41397</v>
      </c>
      <c r="C104" s="41">
        <v>6.3</v>
      </c>
    </row>
    <row r="105" spans="1:3" x14ac:dyDescent="0.2">
      <c r="A105" s="39">
        <v>41398</v>
      </c>
      <c r="B105" s="39">
        <v>41398</v>
      </c>
      <c r="C105" s="41">
        <v>5.9</v>
      </c>
    </row>
    <row r="106" spans="1:3" x14ac:dyDescent="0.2">
      <c r="A106" s="39">
        <v>41399</v>
      </c>
      <c r="B106" s="39">
        <v>41399</v>
      </c>
      <c r="C106" s="41">
        <v>11.2</v>
      </c>
    </row>
    <row r="107" spans="1:3" x14ac:dyDescent="0.2">
      <c r="A107" s="39">
        <v>41400</v>
      </c>
      <c r="B107" s="39">
        <v>41400</v>
      </c>
      <c r="C107" s="41">
        <v>9.6999999999999993</v>
      </c>
    </row>
    <row r="108" spans="1:3" x14ac:dyDescent="0.2">
      <c r="A108" s="39">
        <v>41401</v>
      </c>
      <c r="B108" s="39">
        <v>41401</v>
      </c>
      <c r="C108" s="41">
        <v>7.9</v>
      </c>
    </row>
    <row r="109" spans="1:3" x14ac:dyDescent="0.2">
      <c r="A109" s="39">
        <v>41402</v>
      </c>
      <c r="B109" s="39">
        <v>41402</v>
      </c>
      <c r="C109" s="41">
        <v>0.1</v>
      </c>
    </row>
    <row r="110" spans="1:3" x14ac:dyDescent="0.2">
      <c r="A110" s="39">
        <v>41403</v>
      </c>
      <c r="B110" s="39">
        <v>41403</v>
      </c>
      <c r="C110" s="41">
        <v>0.1</v>
      </c>
    </row>
    <row r="111" spans="1:3" x14ac:dyDescent="0.2">
      <c r="A111" s="39">
        <v>41404</v>
      </c>
      <c r="B111" s="39">
        <v>41404</v>
      </c>
      <c r="C111" s="41">
        <v>10.1</v>
      </c>
    </row>
    <row r="112" spans="1:3" x14ac:dyDescent="0.2">
      <c r="A112" s="39">
        <v>41405</v>
      </c>
      <c r="B112" s="39">
        <v>41405</v>
      </c>
      <c r="C112" s="41">
        <v>13</v>
      </c>
    </row>
    <row r="113" spans="1:3" x14ac:dyDescent="0.2">
      <c r="A113" s="39">
        <v>41406</v>
      </c>
      <c r="B113" s="39">
        <v>41406</v>
      </c>
      <c r="C113" s="41">
        <v>5.0999999999999996</v>
      </c>
    </row>
    <row r="114" spans="1:3" x14ac:dyDescent="0.2">
      <c r="A114" s="39">
        <v>41407</v>
      </c>
      <c r="B114" s="39">
        <v>41407</v>
      </c>
      <c r="C114" s="41">
        <v>8</v>
      </c>
    </row>
    <row r="115" spans="1:3" x14ac:dyDescent="0.2">
      <c r="A115" s="39">
        <v>41408</v>
      </c>
      <c r="B115" s="39">
        <v>41408</v>
      </c>
      <c r="C115" s="41">
        <v>5.6</v>
      </c>
    </row>
    <row r="116" spans="1:3" x14ac:dyDescent="0.2">
      <c r="A116" s="39">
        <v>41409</v>
      </c>
      <c r="B116" s="39">
        <v>41409</v>
      </c>
      <c r="C116" s="41">
        <v>0.3</v>
      </c>
    </row>
    <row r="117" spans="1:3" x14ac:dyDescent="0.2">
      <c r="A117" s="39">
        <v>41410</v>
      </c>
      <c r="B117" s="39">
        <v>41410</v>
      </c>
      <c r="C117" s="41">
        <v>0.5</v>
      </c>
    </row>
    <row r="118" spans="1:3" x14ac:dyDescent="0.2">
      <c r="A118" s="39">
        <v>41411</v>
      </c>
      <c r="B118" s="39">
        <v>41411</v>
      </c>
      <c r="C118" s="41">
        <v>0.5</v>
      </c>
    </row>
    <row r="119" spans="1:3" x14ac:dyDescent="0.2">
      <c r="A119" s="39">
        <v>41412</v>
      </c>
      <c r="B119" s="39">
        <v>41412</v>
      </c>
      <c r="C119" s="41">
        <v>11.8</v>
      </c>
    </row>
    <row r="120" spans="1:3" x14ac:dyDescent="0.2">
      <c r="A120" s="39">
        <v>41413</v>
      </c>
      <c r="B120" s="39">
        <v>41413</v>
      </c>
      <c r="C120" s="41">
        <v>15.9</v>
      </c>
    </row>
    <row r="121" spans="1:3" x14ac:dyDescent="0.2">
      <c r="A121" s="39">
        <v>41414</v>
      </c>
      <c r="B121" s="39">
        <v>41414</v>
      </c>
      <c r="C121" s="41">
        <v>7.2</v>
      </c>
    </row>
    <row r="122" spans="1:3" x14ac:dyDescent="0.2">
      <c r="A122" s="39">
        <v>41415</v>
      </c>
      <c r="B122" s="39">
        <v>41415</v>
      </c>
      <c r="C122" s="41">
        <v>7.1</v>
      </c>
    </row>
    <row r="123" spans="1:3" x14ac:dyDescent="0.2">
      <c r="A123" s="39">
        <v>41416</v>
      </c>
      <c r="B123" s="39">
        <v>41416</v>
      </c>
      <c r="C123" s="41">
        <v>12.4</v>
      </c>
    </row>
    <row r="124" spans="1:3" x14ac:dyDescent="0.2">
      <c r="A124" s="39">
        <v>41417</v>
      </c>
      <c r="B124" s="39">
        <v>41417</v>
      </c>
      <c r="C124" s="41">
        <v>6.5</v>
      </c>
    </row>
    <row r="125" spans="1:3" x14ac:dyDescent="0.2">
      <c r="A125" s="39">
        <v>41418</v>
      </c>
      <c r="B125" s="39">
        <v>41418</v>
      </c>
      <c r="C125" s="41">
        <v>4.7</v>
      </c>
    </row>
    <row r="126" spans="1:3" x14ac:dyDescent="0.2">
      <c r="A126" s="39">
        <v>41419</v>
      </c>
      <c r="B126" s="39">
        <v>41419</v>
      </c>
      <c r="C126" s="41">
        <v>11.3</v>
      </c>
    </row>
    <row r="127" spans="1:3" x14ac:dyDescent="0.2">
      <c r="A127" s="39">
        <v>41420</v>
      </c>
      <c r="B127" s="39">
        <v>41420</v>
      </c>
      <c r="C127" s="41">
        <v>7.4</v>
      </c>
    </row>
    <row r="128" spans="1:3" x14ac:dyDescent="0.2">
      <c r="A128" s="39">
        <v>41421</v>
      </c>
      <c r="B128" s="39">
        <v>41421</v>
      </c>
      <c r="C128" s="41">
        <v>6.4</v>
      </c>
    </row>
    <row r="129" spans="1:3" x14ac:dyDescent="0.2">
      <c r="A129" s="39">
        <v>41422</v>
      </c>
      <c r="B129" s="39">
        <v>41422</v>
      </c>
      <c r="C129" s="41">
        <v>4.4000000000000004</v>
      </c>
    </row>
    <row r="130" spans="1:3" x14ac:dyDescent="0.2">
      <c r="A130" s="39">
        <v>41423</v>
      </c>
      <c r="B130" s="39">
        <v>41423</v>
      </c>
      <c r="C130" s="41">
        <v>4</v>
      </c>
    </row>
    <row r="131" spans="1:3" x14ac:dyDescent="0.2">
      <c r="A131" s="39">
        <v>41424</v>
      </c>
      <c r="B131" s="39">
        <v>41424</v>
      </c>
      <c r="C131" s="41">
        <v>11.7</v>
      </c>
    </row>
    <row r="132" spans="1:3" x14ac:dyDescent="0.2">
      <c r="A132" s="39">
        <v>41425</v>
      </c>
      <c r="B132" s="39">
        <v>41425</v>
      </c>
      <c r="C132" s="41">
        <v>3.6</v>
      </c>
    </row>
    <row r="133" spans="1:3" x14ac:dyDescent="0.2">
      <c r="A133" s="39">
        <v>41426</v>
      </c>
      <c r="B133" s="39">
        <v>41426</v>
      </c>
      <c r="C133" s="41">
        <v>19.399999999999999</v>
      </c>
    </row>
    <row r="134" spans="1:3" x14ac:dyDescent="0.2">
      <c r="A134" s="39">
        <v>41427</v>
      </c>
      <c r="B134" s="39">
        <v>41427</v>
      </c>
      <c r="C134" s="41">
        <v>24.3</v>
      </c>
    </row>
    <row r="135" spans="1:3" x14ac:dyDescent="0.2">
      <c r="A135" s="39">
        <v>41428</v>
      </c>
      <c r="B135" s="39">
        <v>41428</v>
      </c>
      <c r="C135" s="41">
        <v>17.100000000000001</v>
      </c>
    </row>
    <row r="136" spans="1:3" x14ac:dyDescent="0.2">
      <c r="A136" s="39">
        <v>41429</v>
      </c>
      <c r="B136" s="39">
        <v>41429</v>
      </c>
      <c r="C136" s="41">
        <v>145.19999999999999</v>
      </c>
    </row>
    <row r="137" spans="1:3" x14ac:dyDescent="0.2">
      <c r="A137" s="39">
        <v>41430</v>
      </c>
      <c r="B137" s="39">
        <v>41430</v>
      </c>
      <c r="C137" s="41">
        <v>14.3</v>
      </c>
    </row>
    <row r="138" spans="1:3" x14ac:dyDescent="0.2">
      <c r="A138" s="39">
        <v>41431</v>
      </c>
      <c r="B138" s="39">
        <v>41431</v>
      </c>
      <c r="C138" s="41">
        <v>27.5</v>
      </c>
    </row>
    <row r="139" spans="1:3" x14ac:dyDescent="0.2">
      <c r="A139" s="39">
        <v>41432</v>
      </c>
      <c r="B139" s="39">
        <v>41432</v>
      </c>
      <c r="C139" s="41">
        <v>19.8</v>
      </c>
    </row>
    <row r="140" spans="1:3" x14ac:dyDescent="0.2">
      <c r="A140" s="39">
        <v>41433</v>
      </c>
      <c r="B140" s="39">
        <v>41433</v>
      </c>
      <c r="C140" s="41">
        <v>0.4</v>
      </c>
    </row>
    <row r="141" spans="1:3" x14ac:dyDescent="0.2">
      <c r="A141" s="39">
        <v>41434</v>
      </c>
      <c r="B141" s="39">
        <v>41434</v>
      </c>
      <c r="C141" s="41">
        <v>14</v>
      </c>
    </row>
    <row r="142" spans="1:3" x14ac:dyDescent="0.2">
      <c r="A142" s="39">
        <v>41435</v>
      </c>
      <c r="B142" s="39">
        <v>41435</v>
      </c>
      <c r="C142" s="41">
        <v>0.9</v>
      </c>
    </row>
    <row r="143" spans="1:3" x14ac:dyDescent="0.2">
      <c r="A143" s="39">
        <v>41436</v>
      </c>
      <c r="B143" s="39">
        <v>41436</v>
      </c>
      <c r="C143" s="41">
        <v>9</v>
      </c>
    </row>
    <row r="144" spans="1:3" x14ac:dyDescent="0.2">
      <c r="A144" s="39">
        <v>41437</v>
      </c>
      <c r="B144" s="39">
        <v>41437</v>
      </c>
      <c r="C144" s="41">
        <v>1.4</v>
      </c>
    </row>
    <row r="145" spans="1:3" x14ac:dyDescent="0.2">
      <c r="A145" s="39">
        <v>41438</v>
      </c>
      <c r="B145" s="39">
        <v>41438</v>
      </c>
      <c r="C145" s="41">
        <v>2</v>
      </c>
    </row>
    <row r="146" spans="1:3" x14ac:dyDescent="0.2">
      <c r="A146" s="39">
        <v>41439</v>
      </c>
      <c r="B146" s="39">
        <v>41439</v>
      </c>
      <c r="C146" s="41">
        <v>15.5</v>
      </c>
    </row>
    <row r="147" spans="1:3" x14ac:dyDescent="0.2">
      <c r="A147" s="39">
        <v>41440</v>
      </c>
      <c r="B147" s="39">
        <v>41440</v>
      </c>
      <c r="C147" s="41">
        <v>6.3</v>
      </c>
    </row>
    <row r="148" spans="1:3" x14ac:dyDescent="0.2">
      <c r="A148" s="39">
        <v>41441</v>
      </c>
      <c r="B148" s="39">
        <v>41441</v>
      </c>
      <c r="C148" s="41">
        <v>0.3</v>
      </c>
    </row>
    <row r="149" spans="1:3" x14ac:dyDescent="0.2">
      <c r="A149" s="39">
        <v>41442</v>
      </c>
      <c r="B149" s="39">
        <v>41442</v>
      </c>
      <c r="C149" s="41">
        <v>2.2000000000000002</v>
      </c>
    </row>
    <row r="150" spans="1:3" x14ac:dyDescent="0.2">
      <c r="A150" s="39">
        <v>41443</v>
      </c>
      <c r="B150" s="39">
        <v>41443</v>
      </c>
      <c r="C150" s="41">
        <v>26.1</v>
      </c>
    </row>
    <row r="151" spans="1:3" x14ac:dyDescent="0.2">
      <c r="A151" s="39">
        <v>41444</v>
      </c>
      <c r="B151" s="39">
        <v>41444</v>
      </c>
      <c r="C151" s="41">
        <v>2.4</v>
      </c>
    </row>
    <row r="152" spans="1:3" x14ac:dyDescent="0.2">
      <c r="A152" s="39">
        <v>41445</v>
      </c>
      <c r="B152" s="39">
        <v>41445</v>
      </c>
      <c r="C152" s="41">
        <v>0.3</v>
      </c>
    </row>
    <row r="153" spans="1:3" x14ac:dyDescent="0.2">
      <c r="A153" s="39">
        <v>41446</v>
      </c>
      <c r="B153" s="39">
        <v>41446</v>
      </c>
      <c r="C153" s="41">
        <v>0.2</v>
      </c>
    </row>
    <row r="154" spans="1:3" x14ac:dyDescent="0.2">
      <c r="A154" s="39">
        <v>41447</v>
      </c>
      <c r="B154" s="39">
        <v>41447</v>
      </c>
      <c r="C154" s="41">
        <v>1.6</v>
      </c>
    </row>
    <row r="155" spans="1:3" x14ac:dyDescent="0.2">
      <c r="A155" s="39">
        <v>41448</v>
      </c>
      <c r="B155" s="39">
        <v>41448</v>
      </c>
      <c r="C155" s="41">
        <v>0.3</v>
      </c>
    </row>
    <row r="156" spans="1:3" x14ac:dyDescent="0.2">
      <c r="A156" s="39">
        <v>41449</v>
      </c>
      <c r="B156" s="39">
        <v>41449</v>
      </c>
      <c r="C156" s="41">
        <v>0</v>
      </c>
    </row>
    <row r="157" spans="1:3" x14ac:dyDescent="0.2">
      <c r="A157" s="39">
        <v>41450</v>
      </c>
      <c r="B157" s="39">
        <v>41450</v>
      </c>
      <c r="C157" s="41">
        <v>12.7</v>
      </c>
    </row>
    <row r="158" spans="1:3" x14ac:dyDescent="0.2">
      <c r="A158" s="39">
        <v>41451</v>
      </c>
      <c r="B158" s="39">
        <v>41451</v>
      </c>
      <c r="C158" s="41">
        <v>0</v>
      </c>
    </row>
    <row r="159" spans="1:3" x14ac:dyDescent="0.2">
      <c r="A159" s="39">
        <v>41452</v>
      </c>
      <c r="B159" s="39">
        <v>41452</v>
      </c>
      <c r="C159" s="41">
        <v>0.2</v>
      </c>
    </row>
    <row r="160" spans="1:3" x14ac:dyDescent="0.2">
      <c r="A160" s="39">
        <v>41453</v>
      </c>
      <c r="B160" s="39">
        <v>41453</v>
      </c>
      <c r="C160" s="41">
        <v>0</v>
      </c>
    </row>
    <row r="161" spans="1:3" x14ac:dyDescent="0.2">
      <c r="A161" s="39">
        <v>41454</v>
      </c>
      <c r="B161" s="39">
        <v>41454</v>
      </c>
      <c r="C161" s="41">
        <v>0.6</v>
      </c>
    </row>
    <row r="162" spans="1:3" x14ac:dyDescent="0.2">
      <c r="A162" s="39">
        <v>41455</v>
      </c>
      <c r="B162" s="39">
        <v>41455</v>
      </c>
      <c r="C162" s="41">
        <v>0</v>
      </c>
    </row>
    <row r="163" spans="1:3" x14ac:dyDescent="0.2">
      <c r="A163" s="39">
        <v>41456</v>
      </c>
      <c r="B163" s="39">
        <v>41456</v>
      </c>
      <c r="C163" s="41">
        <v>0.3</v>
      </c>
    </row>
    <row r="164" spans="1:3" x14ac:dyDescent="0.2">
      <c r="A164" s="39">
        <v>41457</v>
      </c>
      <c r="B164" s="39">
        <v>41457</v>
      </c>
      <c r="C164" s="41">
        <v>0</v>
      </c>
    </row>
    <row r="165" spans="1:3" x14ac:dyDescent="0.2">
      <c r="A165" s="39">
        <v>41458</v>
      </c>
      <c r="B165" s="39">
        <v>41458</v>
      </c>
      <c r="C165" s="41">
        <v>27.8</v>
      </c>
    </row>
    <row r="166" spans="1:3" x14ac:dyDescent="0.2">
      <c r="A166" s="39">
        <v>41459</v>
      </c>
      <c r="B166" s="39">
        <v>41459</v>
      </c>
      <c r="C166" s="41">
        <v>0</v>
      </c>
    </row>
    <row r="167" spans="1:3" x14ac:dyDescent="0.2">
      <c r="A167" s="39">
        <v>41460</v>
      </c>
      <c r="B167" s="39">
        <v>41460</v>
      </c>
      <c r="C167" s="41">
        <v>0</v>
      </c>
    </row>
    <row r="168" spans="1:3" x14ac:dyDescent="0.2">
      <c r="A168" s="39">
        <v>41461</v>
      </c>
      <c r="B168" s="39">
        <v>41461</v>
      </c>
      <c r="C168" s="41">
        <v>7.2</v>
      </c>
    </row>
    <row r="169" spans="1:3" x14ac:dyDescent="0.2">
      <c r="A169" s="39">
        <v>41462</v>
      </c>
      <c r="B169" s="39">
        <v>41462</v>
      </c>
      <c r="C169" s="41">
        <v>0.5</v>
      </c>
    </row>
    <row r="170" spans="1:3" x14ac:dyDescent="0.2">
      <c r="A170" s="39">
        <v>41463</v>
      </c>
      <c r="B170" s="39">
        <v>41463</v>
      </c>
      <c r="C170" s="41">
        <v>0.9</v>
      </c>
    </row>
    <row r="171" spans="1:3" x14ac:dyDescent="0.2">
      <c r="A171" s="39">
        <v>41464</v>
      </c>
      <c r="B171" s="39">
        <v>41464</v>
      </c>
      <c r="C171" s="41">
        <v>0</v>
      </c>
    </row>
    <row r="172" spans="1:3" x14ac:dyDescent="0.2">
      <c r="A172" s="39">
        <v>41465</v>
      </c>
      <c r="B172" s="39">
        <v>41465</v>
      </c>
      <c r="C172" s="41">
        <v>0.3</v>
      </c>
    </row>
    <row r="173" spans="1:3" x14ac:dyDescent="0.2">
      <c r="A173" s="39">
        <v>41466</v>
      </c>
      <c r="B173" s="39">
        <v>41466</v>
      </c>
      <c r="C173" s="41">
        <v>3.6</v>
      </c>
    </row>
    <row r="174" spans="1:3" x14ac:dyDescent="0.2">
      <c r="A174" s="39">
        <v>41467</v>
      </c>
      <c r="B174" s="39">
        <v>41467</v>
      </c>
      <c r="C174" s="41">
        <v>0.9</v>
      </c>
    </row>
    <row r="175" spans="1:3" x14ac:dyDescent="0.2">
      <c r="A175" s="39">
        <v>41468</v>
      </c>
      <c r="B175" s="39">
        <v>41468</v>
      </c>
      <c r="C175" s="41">
        <v>0</v>
      </c>
    </row>
    <row r="176" spans="1:3" x14ac:dyDescent="0.2">
      <c r="A176" s="39">
        <v>41469</v>
      </c>
      <c r="B176" s="39">
        <v>41469</v>
      </c>
      <c r="C176" s="41">
        <v>0.3</v>
      </c>
    </row>
    <row r="177" spans="1:3" x14ac:dyDescent="0.2">
      <c r="A177" s="39">
        <v>41470</v>
      </c>
      <c r="B177" s="39">
        <v>41470</v>
      </c>
      <c r="C177" s="41">
        <v>0</v>
      </c>
    </row>
    <row r="178" spans="1:3" x14ac:dyDescent="0.2">
      <c r="A178" s="39">
        <v>41471</v>
      </c>
      <c r="B178" s="39">
        <v>41471</v>
      </c>
      <c r="C178" s="41">
        <v>0.9</v>
      </c>
    </row>
    <row r="179" spans="1:3" x14ac:dyDescent="0.2">
      <c r="A179" s="39">
        <v>41472</v>
      </c>
      <c r="B179" s="39">
        <v>41472</v>
      </c>
      <c r="C179" s="41">
        <v>0</v>
      </c>
    </row>
    <row r="180" spans="1:3" x14ac:dyDescent="0.2">
      <c r="A180" s="39">
        <v>41473</v>
      </c>
      <c r="B180" s="39">
        <v>41473</v>
      </c>
      <c r="C180" s="41">
        <v>0.5</v>
      </c>
    </row>
    <row r="181" spans="1:3" x14ac:dyDescent="0.2">
      <c r="A181" s="39">
        <v>41474</v>
      </c>
      <c r="B181" s="39">
        <v>41474</v>
      </c>
      <c r="C181" s="41">
        <v>0.8</v>
      </c>
    </row>
    <row r="182" spans="1:3" x14ac:dyDescent="0.2">
      <c r="A182" s="39">
        <v>41475</v>
      </c>
      <c r="B182" s="39">
        <v>41475</v>
      </c>
      <c r="C182" s="41">
        <v>0</v>
      </c>
    </row>
    <row r="183" spans="1:3" x14ac:dyDescent="0.2">
      <c r="A183" s="39">
        <v>41476</v>
      </c>
      <c r="B183" s="39">
        <v>41476</v>
      </c>
      <c r="C183" s="41">
        <v>4.4000000000000004</v>
      </c>
    </row>
    <row r="184" spans="1:3" x14ac:dyDescent="0.2">
      <c r="A184" s="39">
        <v>41477</v>
      </c>
      <c r="B184" s="39">
        <v>41477</v>
      </c>
      <c r="C184" s="41">
        <v>0.9</v>
      </c>
    </row>
    <row r="185" spans="1:3" x14ac:dyDescent="0.2">
      <c r="A185" s="39">
        <v>41478</v>
      </c>
      <c r="B185" s="39">
        <v>41478</v>
      </c>
      <c r="C185" s="41">
        <v>0.4</v>
      </c>
    </row>
    <row r="186" spans="1:3" x14ac:dyDescent="0.2">
      <c r="A186" s="39">
        <v>41479</v>
      </c>
      <c r="B186" s="39">
        <v>41479</v>
      </c>
      <c r="C186" s="41">
        <v>0.4</v>
      </c>
    </row>
    <row r="187" spans="1:3" x14ac:dyDescent="0.2">
      <c r="A187" s="39">
        <v>41480</v>
      </c>
      <c r="B187" s="39">
        <v>41480</v>
      </c>
      <c r="C187" s="41">
        <v>4.8</v>
      </c>
    </row>
    <row r="188" spans="1:3" x14ac:dyDescent="0.2">
      <c r="A188" s="39">
        <v>41481</v>
      </c>
      <c r="B188" s="39">
        <v>41481</v>
      </c>
      <c r="C188" s="41">
        <v>0</v>
      </c>
    </row>
    <row r="189" spans="1:3" x14ac:dyDescent="0.2">
      <c r="A189" s="39">
        <v>41482</v>
      </c>
      <c r="B189" s="39">
        <v>41482</v>
      </c>
      <c r="C189" s="41">
        <v>0.3</v>
      </c>
    </row>
    <row r="190" spans="1:3" x14ac:dyDescent="0.2">
      <c r="A190" s="39">
        <v>41483</v>
      </c>
      <c r="B190" s="39">
        <v>41483</v>
      </c>
      <c r="C190" s="41">
        <v>0</v>
      </c>
    </row>
    <row r="191" spans="1:3" x14ac:dyDescent="0.2">
      <c r="A191" s="39">
        <v>41484</v>
      </c>
      <c r="B191" s="39">
        <v>41484</v>
      </c>
      <c r="C191" s="41">
        <v>148.69999999999999</v>
      </c>
    </row>
    <row r="192" spans="1:3" x14ac:dyDescent="0.2">
      <c r="A192" s="39">
        <v>41485</v>
      </c>
      <c r="B192" s="39">
        <v>41485</v>
      </c>
      <c r="C192" s="41">
        <v>0</v>
      </c>
    </row>
    <row r="193" spans="1:3" x14ac:dyDescent="0.2">
      <c r="A193" s="39">
        <v>41486</v>
      </c>
      <c r="B193" s="39">
        <v>41486</v>
      </c>
      <c r="C193" s="41" t="s">
        <v>16</v>
      </c>
    </row>
    <row r="194" spans="1:3" x14ac:dyDescent="0.2">
      <c r="A194" s="39">
        <v>41487</v>
      </c>
      <c r="B194" s="39">
        <v>41487</v>
      </c>
      <c r="C194" s="41">
        <v>0</v>
      </c>
    </row>
    <row r="195" spans="1:3" x14ac:dyDescent="0.2">
      <c r="A195" s="39">
        <v>41488</v>
      </c>
      <c r="B195" s="39">
        <v>41488</v>
      </c>
      <c r="C195" s="41">
        <v>0</v>
      </c>
    </row>
    <row r="196" spans="1:3" x14ac:dyDescent="0.2">
      <c r="A196" s="39">
        <v>41489</v>
      </c>
      <c r="B196" s="39">
        <v>41489</v>
      </c>
      <c r="C196" s="41">
        <v>0</v>
      </c>
    </row>
    <row r="197" spans="1:3" x14ac:dyDescent="0.2">
      <c r="A197" s="39">
        <v>41490</v>
      </c>
      <c r="B197" s="39">
        <v>41490</v>
      </c>
      <c r="C197" s="41">
        <v>0</v>
      </c>
    </row>
    <row r="198" spans="1:3" x14ac:dyDescent="0.2">
      <c r="A198" s="39">
        <v>41491</v>
      </c>
      <c r="B198" s="39">
        <v>41491</v>
      </c>
      <c r="C198" s="41">
        <v>0</v>
      </c>
    </row>
    <row r="199" spans="1:3" x14ac:dyDescent="0.2">
      <c r="A199" s="39">
        <v>41492</v>
      </c>
      <c r="B199" s="39">
        <v>41492</v>
      </c>
      <c r="C199" s="41">
        <v>0</v>
      </c>
    </row>
    <row r="200" spans="1:3" x14ac:dyDescent="0.2">
      <c r="A200" s="39">
        <v>41493</v>
      </c>
      <c r="B200" s="39">
        <v>41493</v>
      </c>
      <c r="C200" s="41">
        <v>0</v>
      </c>
    </row>
    <row r="201" spans="1:3" x14ac:dyDescent="0.2">
      <c r="A201" s="39">
        <v>41494</v>
      </c>
      <c r="B201" s="39">
        <v>41494</v>
      </c>
      <c r="C201" s="41">
        <v>0.3</v>
      </c>
    </row>
    <row r="202" spans="1:3" x14ac:dyDescent="0.2">
      <c r="A202" s="39">
        <v>41495</v>
      </c>
      <c r="B202" s="39">
        <v>41495</v>
      </c>
      <c r="C202" s="41">
        <v>0</v>
      </c>
    </row>
    <row r="203" spans="1:3" x14ac:dyDescent="0.2">
      <c r="A203" s="39">
        <v>41496</v>
      </c>
      <c r="B203" s="39">
        <v>41496</v>
      </c>
      <c r="C203" s="41">
        <v>0</v>
      </c>
    </row>
    <row r="204" spans="1:3" x14ac:dyDescent="0.2">
      <c r="A204" s="39">
        <v>41497</v>
      </c>
      <c r="B204" s="39">
        <v>41497</v>
      </c>
      <c r="C204" s="41">
        <v>0</v>
      </c>
    </row>
    <row r="205" spans="1:3" x14ac:dyDescent="0.2">
      <c r="A205" s="39">
        <v>41498</v>
      </c>
      <c r="B205" s="39">
        <v>41498</v>
      </c>
      <c r="C205" s="41">
        <v>0</v>
      </c>
    </row>
    <row r="206" spans="1:3" x14ac:dyDescent="0.2">
      <c r="A206" s="39">
        <v>41499</v>
      </c>
      <c r="B206" s="39">
        <v>41499</v>
      </c>
      <c r="C206" s="41">
        <v>0</v>
      </c>
    </row>
    <row r="207" spans="1:3" x14ac:dyDescent="0.2">
      <c r="A207" s="39">
        <v>41500</v>
      </c>
      <c r="B207" s="39">
        <v>41500</v>
      </c>
      <c r="C207" s="41">
        <v>0</v>
      </c>
    </row>
    <row r="208" spans="1:3" x14ac:dyDescent="0.2">
      <c r="A208" s="39">
        <v>41501</v>
      </c>
      <c r="B208" s="39">
        <v>41501</v>
      </c>
      <c r="C208" s="41">
        <v>0.1</v>
      </c>
    </row>
    <row r="209" spans="1:3" x14ac:dyDescent="0.2">
      <c r="A209" s="39">
        <v>41502</v>
      </c>
      <c r="B209" s="39">
        <v>41502</v>
      </c>
      <c r="C209" s="41">
        <v>0</v>
      </c>
    </row>
    <row r="210" spans="1:3" x14ac:dyDescent="0.2">
      <c r="A210" s="39">
        <v>41503</v>
      </c>
      <c r="B210" s="39">
        <v>41503</v>
      </c>
      <c r="C210" s="41">
        <v>0.3</v>
      </c>
    </row>
    <row r="211" spans="1:3" x14ac:dyDescent="0.2">
      <c r="A211" s="39">
        <v>41504</v>
      </c>
      <c r="B211" s="39">
        <v>41504</v>
      </c>
      <c r="C211" s="41">
        <v>0</v>
      </c>
    </row>
    <row r="212" spans="1:3" x14ac:dyDescent="0.2">
      <c r="A212" s="39">
        <v>41505</v>
      </c>
      <c r="B212" s="39">
        <v>41505</v>
      </c>
      <c r="C212" s="41">
        <v>0</v>
      </c>
    </row>
    <row r="213" spans="1:3" x14ac:dyDescent="0.2">
      <c r="A213" s="39">
        <v>41506</v>
      </c>
      <c r="B213" s="39">
        <v>41506</v>
      </c>
      <c r="C213" s="41">
        <v>0</v>
      </c>
    </row>
    <row r="214" spans="1:3" x14ac:dyDescent="0.2">
      <c r="A214" s="39">
        <v>41507</v>
      </c>
      <c r="B214" s="39">
        <v>41507</v>
      </c>
      <c r="C214" s="41">
        <v>0</v>
      </c>
    </row>
    <row r="215" spans="1:3" x14ac:dyDescent="0.2">
      <c r="A215" s="39">
        <v>41508</v>
      </c>
      <c r="B215" s="39">
        <v>41508</v>
      </c>
      <c r="C215" s="41">
        <v>0</v>
      </c>
    </row>
    <row r="216" spans="1:3" x14ac:dyDescent="0.2">
      <c r="A216" s="39">
        <v>41509</v>
      </c>
      <c r="B216" s="39">
        <v>41509</v>
      </c>
      <c r="C216" s="41">
        <v>0.4</v>
      </c>
    </row>
    <row r="217" spans="1:3" x14ac:dyDescent="0.2">
      <c r="A217" s="39">
        <v>41510</v>
      </c>
      <c r="B217" s="39">
        <v>41510</v>
      </c>
      <c r="C217" s="41">
        <v>2.1</v>
      </c>
    </row>
    <row r="218" spans="1:3" x14ac:dyDescent="0.2">
      <c r="A218" s="39">
        <v>41511</v>
      </c>
      <c r="B218" s="39">
        <v>41511</v>
      </c>
      <c r="C218" s="41">
        <v>0</v>
      </c>
    </row>
    <row r="219" spans="1:3" x14ac:dyDescent="0.2">
      <c r="A219" s="39">
        <v>41512</v>
      </c>
      <c r="B219" s="39">
        <v>41512</v>
      </c>
      <c r="C219" s="41">
        <v>0</v>
      </c>
    </row>
    <row r="220" spans="1:3" x14ac:dyDescent="0.2">
      <c r="A220" s="39">
        <v>41513</v>
      </c>
      <c r="B220" s="39">
        <v>41513</v>
      </c>
      <c r="C220" s="41">
        <v>5.3</v>
      </c>
    </row>
    <row r="221" spans="1:3" x14ac:dyDescent="0.2">
      <c r="A221" s="39">
        <v>41514</v>
      </c>
      <c r="B221" s="39">
        <v>41514</v>
      </c>
      <c r="C221" s="41">
        <v>2</v>
      </c>
    </row>
    <row r="222" spans="1:3" x14ac:dyDescent="0.2">
      <c r="A222" s="39">
        <v>41515</v>
      </c>
      <c r="B222" s="39">
        <v>41515</v>
      </c>
      <c r="C222" s="41">
        <v>2.2999999999999998</v>
      </c>
    </row>
    <row r="223" spans="1:3" x14ac:dyDescent="0.2">
      <c r="A223" s="39">
        <v>41516</v>
      </c>
      <c r="B223" s="39">
        <v>41516</v>
      </c>
      <c r="C223" s="41">
        <v>0</v>
      </c>
    </row>
    <row r="224" spans="1:3" x14ac:dyDescent="0.2">
      <c r="A224" s="39">
        <v>41517</v>
      </c>
      <c r="B224" s="39">
        <v>41517</v>
      </c>
      <c r="C224" s="41">
        <v>0</v>
      </c>
    </row>
    <row r="225" spans="1:3" x14ac:dyDescent="0.2">
      <c r="A225" s="39">
        <v>41518</v>
      </c>
      <c r="B225" s="39">
        <v>41518</v>
      </c>
      <c r="C225" s="41">
        <v>8.3000000000000007</v>
      </c>
    </row>
    <row r="226" spans="1:3" x14ac:dyDescent="0.2">
      <c r="A226" s="39">
        <v>41519</v>
      </c>
      <c r="B226" s="39">
        <v>41519</v>
      </c>
      <c r="C226" s="41">
        <v>9.3000000000000007</v>
      </c>
    </row>
    <row r="227" spans="1:3" x14ac:dyDescent="0.2">
      <c r="A227" s="39">
        <v>41520</v>
      </c>
      <c r="B227" s="39">
        <v>41520</v>
      </c>
      <c r="C227" s="41">
        <v>9.1999999999999993</v>
      </c>
    </row>
    <row r="228" spans="1:3" x14ac:dyDescent="0.2">
      <c r="A228" s="39">
        <v>41521</v>
      </c>
      <c r="B228" s="39">
        <v>41521</v>
      </c>
      <c r="C228" s="41">
        <v>17.600000000000001</v>
      </c>
    </row>
    <row r="229" spans="1:3" x14ac:dyDescent="0.2">
      <c r="A229" s="39">
        <v>41522</v>
      </c>
      <c r="B229" s="39">
        <v>41522</v>
      </c>
      <c r="C229" s="41">
        <v>2.6</v>
      </c>
    </row>
    <row r="230" spans="1:3" x14ac:dyDescent="0.2">
      <c r="A230" s="39">
        <v>41523</v>
      </c>
      <c r="B230" s="39">
        <v>41523</v>
      </c>
      <c r="C230" s="41">
        <v>0</v>
      </c>
    </row>
    <row r="231" spans="1:3" x14ac:dyDescent="0.2">
      <c r="A231" s="39">
        <v>41524</v>
      </c>
      <c r="B231" s="39">
        <v>41524</v>
      </c>
      <c r="C231" s="41">
        <v>0</v>
      </c>
    </row>
    <row r="232" spans="1:3" x14ac:dyDescent="0.2">
      <c r="A232" s="39">
        <v>41525</v>
      </c>
      <c r="B232" s="39">
        <v>41525</v>
      </c>
      <c r="C232" s="41">
        <v>0</v>
      </c>
    </row>
    <row r="233" spans="1:3" x14ac:dyDescent="0.2">
      <c r="A233" s="39">
        <v>41526</v>
      </c>
      <c r="B233" s="39">
        <v>41526</v>
      </c>
      <c r="C233" s="41">
        <v>0</v>
      </c>
    </row>
    <row r="234" spans="1:3" x14ac:dyDescent="0.2">
      <c r="A234" s="39">
        <v>41527</v>
      </c>
      <c r="B234" s="39">
        <v>41527</v>
      </c>
      <c r="C234" s="41">
        <v>0</v>
      </c>
    </row>
    <row r="235" spans="1:3" x14ac:dyDescent="0.2">
      <c r="A235" s="39">
        <v>41528</v>
      </c>
      <c r="B235" s="39">
        <v>41528</v>
      </c>
      <c r="C235" s="41">
        <v>1.5</v>
      </c>
    </row>
    <row r="236" spans="1:3" x14ac:dyDescent="0.2">
      <c r="A236" s="39">
        <v>41529</v>
      </c>
      <c r="B236" s="39">
        <v>41529</v>
      </c>
      <c r="C236" s="41">
        <v>0.1</v>
      </c>
    </row>
    <row r="237" spans="1:3" x14ac:dyDescent="0.2">
      <c r="A237" s="39">
        <v>41530</v>
      </c>
      <c r="B237" s="39">
        <v>41530</v>
      </c>
      <c r="C237" s="41">
        <v>0</v>
      </c>
    </row>
    <row r="238" spans="1:3" x14ac:dyDescent="0.2">
      <c r="A238" s="39">
        <v>41531</v>
      </c>
      <c r="B238" s="39">
        <v>41531</v>
      </c>
      <c r="C238" s="41">
        <v>0</v>
      </c>
    </row>
    <row r="239" spans="1:3" x14ac:dyDescent="0.2">
      <c r="A239" s="39">
        <v>41532</v>
      </c>
      <c r="B239" s="39">
        <v>41532</v>
      </c>
      <c r="C239" s="41">
        <v>0</v>
      </c>
    </row>
    <row r="240" spans="1:3" x14ac:dyDescent="0.2">
      <c r="A240" s="39">
        <v>41533</v>
      </c>
      <c r="B240" s="39">
        <v>41533</v>
      </c>
      <c r="C240" s="41">
        <v>0</v>
      </c>
    </row>
    <row r="241" spans="1:3" x14ac:dyDescent="0.2">
      <c r="A241" s="39">
        <v>41534</v>
      </c>
      <c r="B241" s="39">
        <v>41534</v>
      </c>
      <c r="C241" s="41">
        <v>0</v>
      </c>
    </row>
    <row r="242" spans="1:3" x14ac:dyDescent="0.2">
      <c r="A242" s="39">
        <v>41535</v>
      </c>
      <c r="B242" s="39">
        <v>41535</v>
      </c>
      <c r="C242" s="41">
        <v>0.1</v>
      </c>
    </row>
    <row r="243" spans="1:3" x14ac:dyDescent="0.2">
      <c r="A243" s="39">
        <v>41536</v>
      </c>
      <c r="B243" s="39">
        <v>41536</v>
      </c>
      <c r="C243" s="41">
        <v>0.1</v>
      </c>
    </row>
    <row r="244" spans="1:3" x14ac:dyDescent="0.2">
      <c r="A244" s="39">
        <v>41537</v>
      </c>
      <c r="B244" s="39">
        <v>41537</v>
      </c>
      <c r="C244" s="41">
        <v>0.2</v>
      </c>
    </row>
    <row r="245" spans="1:3" x14ac:dyDescent="0.2">
      <c r="A245" s="39">
        <v>41538</v>
      </c>
      <c r="B245" s="39">
        <v>41538</v>
      </c>
      <c r="C245" s="41">
        <v>0</v>
      </c>
    </row>
    <row r="246" spans="1:3" x14ac:dyDescent="0.2">
      <c r="A246" s="39">
        <v>41539</v>
      </c>
      <c r="B246" s="39">
        <v>41539</v>
      </c>
      <c r="C246" s="41">
        <v>3.8</v>
      </c>
    </row>
    <row r="247" spans="1:3" x14ac:dyDescent="0.2">
      <c r="A247" s="39">
        <v>41540</v>
      </c>
      <c r="B247" s="39">
        <v>41540</v>
      </c>
      <c r="C247" s="41">
        <v>0</v>
      </c>
    </row>
    <row r="248" spans="1:3" x14ac:dyDescent="0.2">
      <c r="A248" s="39">
        <v>41541</v>
      </c>
      <c r="B248" s="39">
        <v>41541</v>
      </c>
      <c r="C248" s="41">
        <v>0</v>
      </c>
    </row>
    <row r="249" spans="1:3" x14ac:dyDescent="0.2">
      <c r="A249" s="39">
        <v>41542</v>
      </c>
      <c r="B249" s="39">
        <v>41542</v>
      </c>
      <c r="C249" s="41">
        <v>0.8</v>
      </c>
    </row>
    <row r="250" spans="1:3" x14ac:dyDescent="0.2">
      <c r="A250" s="39">
        <v>41543</v>
      </c>
      <c r="B250" s="39">
        <v>41543</v>
      </c>
      <c r="C250" s="41">
        <v>0</v>
      </c>
    </row>
    <row r="251" spans="1:3" x14ac:dyDescent="0.2">
      <c r="A251" s="39">
        <v>41544</v>
      </c>
      <c r="B251" s="39">
        <v>41544</v>
      </c>
      <c r="C251" s="41">
        <v>5.3</v>
      </c>
    </row>
    <row r="252" spans="1:3" x14ac:dyDescent="0.2">
      <c r="A252" s="39">
        <v>41545</v>
      </c>
      <c r="B252" s="39">
        <v>41545</v>
      </c>
      <c r="C252" s="41">
        <v>0</v>
      </c>
    </row>
    <row r="253" spans="1:3" x14ac:dyDescent="0.2">
      <c r="A253" s="39">
        <v>41546</v>
      </c>
      <c r="B253" s="39">
        <v>41546</v>
      </c>
      <c r="C253" s="41">
        <v>3</v>
      </c>
    </row>
    <row r="254" spans="1:3" x14ac:dyDescent="0.2">
      <c r="A254" s="39">
        <v>41547</v>
      </c>
      <c r="B254" s="39">
        <v>41547</v>
      </c>
      <c r="C254" s="41">
        <v>0</v>
      </c>
    </row>
    <row r="255" spans="1:3" x14ac:dyDescent="0.2">
      <c r="A255" s="39">
        <v>41548</v>
      </c>
      <c r="B255" s="39">
        <v>41548</v>
      </c>
      <c r="C255" s="41">
        <v>0</v>
      </c>
    </row>
    <row r="256" spans="1:3" x14ac:dyDescent="0.2">
      <c r="A256" s="39">
        <v>41549</v>
      </c>
      <c r="B256" s="39">
        <v>41549</v>
      </c>
      <c r="C256" s="41">
        <v>0</v>
      </c>
    </row>
    <row r="257" spans="1:3" x14ac:dyDescent="0.2">
      <c r="A257" s="39">
        <v>41550</v>
      </c>
      <c r="B257" s="39">
        <v>41550</v>
      </c>
      <c r="C257" s="41">
        <v>3.2</v>
      </c>
    </row>
    <row r="258" spans="1:3" x14ac:dyDescent="0.2">
      <c r="A258" s="39">
        <v>41551</v>
      </c>
      <c r="B258" s="39">
        <v>41551</v>
      </c>
      <c r="C258" s="41">
        <v>0.1</v>
      </c>
    </row>
    <row r="259" spans="1:3" x14ac:dyDescent="0.2">
      <c r="A259" s="39">
        <v>41552</v>
      </c>
      <c r="B259" s="39">
        <v>41552</v>
      </c>
      <c r="C259" s="41">
        <v>0.1</v>
      </c>
    </row>
    <row r="260" spans="1:3" x14ac:dyDescent="0.2">
      <c r="A260" s="39">
        <v>41553</v>
      </c>
      <c r="B260" s="39">
        <v>41553</v>
      </c>
      <c r="C260" s="41">
        <v>0.3</v>
      </c>
    </row>
    <row r="261" spans="1:3" x14ac:dyDescent="0.2">
      <c r="A261" s="39">
        <v>41554</v>
      </c>
      <c r="B261" s="39">
        <v>41554</v>
      </c>
      <c r="C261" s="41">
        <v>0</v>
      </c>
    </row>
    <row r="262" spans="1:3" x14ac:dyDescent="0.2">
      <c r="A262" s="39">
        <v>41555</v>
      </c>
      <c r="B262" s="39">
        <v>41555</v>
      </c>
      <c r="C262" s="41">
        <v>1.5</v>
      </c>
    </row>
    <row r="263" spans="1:3" x14ac:dyDescent="0.2">
      <c r="A263" s="39">
        <v>41556</v>
      </c>
      <c r="B263" s="39">
        <v>41556</v>
      </c>
      <c r="C263" s="41">
        <v>1.1000000000000001</v>
      </c>
    </row>
    <row r="264" spans="1:3" x14ac:dyDescent="0.2">
      <c r="A264" s="39">
        <v>41557</v>
      </c>
      <c r="B264" s="39">
        <v>41557</v>
      </c>
      <c r="C264" s="41">
        <v>0</v>
      </c>
    </row>
    <row r="265" spans="1:3" x14ac:dyDescent="0.2">
      <c r="A265" s="39">
        <v>41558</v>
      </c>
      <c r="B265" s="39">
        <v>41558</v>
      </c>
      <c r="C265" s="41">
        <v>0</v>
      </c>
    </row>
    <row r="266" spans="1:3" x14ac:dyDescent="0.2">
      <c r="A266" s="39">
        <v>41559</v>
      </c>
      <c r="B266" s="39">
        <v>41559</v>
      </c>
      <c r="C266" s="41">
        <v>0.6</v>
      </c>
    </row>
    <row r="267" spans="1:3" x14ac:dyDescent="0.2">
      <c r="A267" s="39">
        <v>41560</v>
      </c>
      <c r="B267" s="39">
        <v>41560</v>
      </c>
      <c r="C267" s="41">
        <v>3.1</v>
      </c>
    </row>
    <row r="268" spans="1:3" x14ac:dyDescent="0.2">
      <c r="A268" s="39">
        <v>41561</v>
      </c>
      <c r="B268" s="39">
        <v>41561</v>
      </c>
      <c r="C268" s="41">
        <v>1.6</v>
      </c>
    </row>
    <row r="269" spans="1:3" x14ac:dyDescent="0.2">
      <c r="A269" s="39">
        <v>41562</v>
      </c>
      <c r="B269" s="39">
        <v>41562</v>
      </c>
      <c r="C269" s="41">
        <v>1.2</v>
      </c>
    </row>
    <row r="270" spans="1:3" x14ac:dyDescent="0.2">
      <c r="A270" s="39">
        <v>41563</v>
      </c>
      <c r="B270" s="39">
        <v>41563</v>
      </c>
      <c r="C270" s="41">
        <v>0.5</v>
      </c>
    </row>
    <row r="271" spans="1:3" x14ac:dyDescent="0.2">
      <c r="A271" s="39">
        <v>41564</v>
      </c>
      <c r="B271" s="39">
        <v>41564</v>
      </c>
      <c r="C271" s="41">
        <v>0.3</v>
      </c>
    </row>
    <row r="272" spans="1:3" x14ac:dyDescent="0.2">
      <c r="A272" s="39">
        <v>41565</v>
      </c>
      <c r="B272" s="39">
        <v>41565</v>
      </c>
      <c r="C272" s="41">
        <v>0.4</v>
      </c>
    </row>
    <row r="273" spans="1:3" x14ac:dyDescent="0.2">
      <c r="A273" s="39">
        <v>41566</v>
      </c>
      <c r="B273" s="39">
        <v>41566</v>
      </c>
      <c r="C273" s="41">
        <v>0</v>
      </c>
    </row>
    <row r="274" spans="1:3" x14ac:dyDescent="0.2">
      <c r="A274" s="39">
        <v>41567</v>
      </c>
      <c r="B274" s="39">
        <v>41567</v>
      </c>
      <c r="C274" s="41">
        <v>0.9</v>
      </c>
    </row>
    <row r="275" spans="1:3" x14ac:dyDescent="0.2">
      <c r="A275" s="39">
        <v>41568</v>
      </c>
      <c r="B275" s="39">
        <v>41568</v>
      </c>
      <c r="C275" s="41">
        <v>1.5</v>
      </c>
    </row>
    <row r="276" spans="1:3" x14ac:dyDescent="0.2">
      <c r="A276" s="39">
        <v>41569</v>
      </c>
      <c r="B276" s="39">
        <v>41569</v>
      </c>
      <c r="C276" s="41">
        <v>0.1</v>
      </c>
    </row>
    <row r="277" spans="1:3" x14ac:dyDescent="0.2">
      <c r="A277" s="39">
        <v>41570</v>
      </c>
      <c r="B277" s="39">
        <v>41570</v>
      </c>
      <c r="C277" s="41">
        <v>0</v>
      </c>
    </row>
    <row r="278" spans="1:3" x14ac:dyDescent="0.2">
      <c r="A278" s="39">
        <v>41571</v>
      </c>
      <c r="B278" s="39">
        <v>41571</v>
      </c>
      <c r="C278" s="41">
        <v>0.4</v>
      </c>
    </row>
    <row r="279" spans="1:3" x14ac:dyDescent="0.2">
      <c r="A279" s="39">
        <v>41572</v>
      </c>
      <c r="B279" s="39">
        <v>41572</v>
      </c>
      <c r="C279" s="41">
        <v>0.3</v>
      </c>
    </row>
    <row r="280" spans="1:3" x14ac:dyDescent="0.2">
      <c r="A280" s="39">
        <v>41573</v>
      </c>
      <c r="B280" s="39">
        <v>41573</v>
      </c>
      <c r="C280" s="41">
        <v>1.8</v>
      </c>
    </row>
    <row r="281" spans="1:3" x14ac:dyDescent="0.2">
      <c r="A281" s="39">
        <v>41574</v>
      </c>
      <c r="B281" s="39">
        <v>41574</v>
      </c>
      <c r="C281" s="41">
        <v>0</v>
      </c>
    </row>
    <row r="282" spans="1:3" x14ac:dyDescent="0.2">
      <c r="A282" s="39">
        <v>41575</v>
      </c>
      <c r="B282" s="39">
        <v>41575</v>
      </c>
      <c r="C282" s="41">
        <v>0</v>
      </c>
    </row>
    <row r="283" spans="1:3" x14ac:dyDescent="0.2">
      <c r="A283" s="39">
        <v>41576</v>
      </c>
      <c r="B283" s="39">
        <v>41576</v>
      </c>
      <c r="C283" s="41">
        <v>0.8</v>
      </c>
    </row>
    <row r="284" spans="1:3" x14ac:dyDescent="0.2">
      <c r="A284" s="39">
        <v>41577</v>
      </c>
      <c r="B284" s="39">
        <v>41577</v>
      </c>
      <c r="C284" s="41">
        <v>0.1</v>
      </c>
    </row>
    <row r="285" spans="1:3" x14ac:dyDescent="0.2">
      <c r="A285" s="39">
        <v>41578</v>
      </c>
      <c r="B285" s="39">
        <v>41578</v>
      </c>
      <c r="C285" s="41">
        <v>0.3</v>
      </c>
    </row>
    <row r="286" spans="1:3" x14ac:dyDescent="0.2">
      <c r="A286" s="39">
        <v>41579</v>
      </c>
      <c r="B286" s="39">
        <v>41579</v>
      </c>
      <c r="C286" s="41">
        <v>0</v>
      </c>
    </row>
    <row r="287" spans="1:3" x14ac:dyDescent="0.2">
      <c r="A287" s="39">
        <v>41580</v>
      </c>
      <c r="B287" s="39">
        <v>41580</v>
      </c>
      <c r="C287" s="41">
        <v>0.2</v>
      </c>
    </row>
    <row r="288" spans="1:3" x14ac:dyDescent="0.2">
      <c r="A288" s="39">
        <v>41581</v>
      </c>
      <c r="B288" s="39">
        <v>41581</v>
      </c>
      <c r="C288" s="41">
        <v>0</v>
      </c>
    </row>
    <row r="289" spans="1:3" x14ac:dyDescent="0.2">
      <c r="A289" s="39">
        <v>41582</v>
      </c>
      <c r="B289" s="39">
        <v>41582</v>
      </c>
      <c r="C289" s="41">
        <v>5</v>
      </c>
    </row>
    <row r="290" spans="1:3" x14ac:dyDescent="0.2">
      <c r="A290" s="39">
        <v>41583</v>
      </c>
      <c r="B290" s="39">
        <v>41583</v>
      </c>
      <c r="C290" s="41">
        <v>0</v>
      </c>
    </row>
    <row r="291" spans="1:3" x14ac:dyDescent="0.2">
      <c r="A291" s="39">
        <v>41584</v>
      </c>
      <c r="B291" s="39">
        <v>41584</v>
      </c>
      <c r="C291" s="41">
        <v>0</v>
      </c>
    </row>
    <row r="292" spans="1:3" x14ac:dyDescent="0.2">
      <c r="A292" s="39">
        <v>41585</v>
      </c>
      <c r="B292" s="39">
        <v>41585</v>
      </c>
      <c r="C292" s="41">
        <v>0</v>
      </c>
    </row>
    <row r="293" spans="1:3" x14ac:dyDescent="0.2">
      <c r="A293" s="39">
        <v>41586</v>
      </c>
      <c r="B293" s="39">
        <v>41586</v>
      </c>
      <c r="C293" s="41">
        <v>0</v>
      </c>
    </row>
    <row r="294" spans="1:3" x14ac:dyDescent="0.2">
      <c r="A294" s="39">
        <v>41587</v>
      </c>
      <c r="B294" s="39">
        <v>41587</v>
      </c>
      <c r="C294" s="41">
        <v>0</v>
      </c>
    </row>
    <row r="295" spans="1:3" x14ac:dyDescent="0.2">
      <c r="A295" s="39">
        <v>41588</v>
      </c>
      <c r="B295" s="39">
        <v>41588</v>
      </c>
      <c r="C295" s="41">
        <v>0.3</v>
      </c>
    </row>
    <row r="296" spans="1:3" x14ac:dyDescent="0.2">
      <c r="A296" s="39">
        <v>41589</v>
      </c>
      <c r="B296" s="39">
        <v>41589</v>
      </c>
      <c r="C296" s="41">
        <v>0</v>
      </c>
    </row>
    <row r="297" spans="1:3" x14ac:dyDescent="0.2">
      <c r="A297" s="39">
        <v>41590</v>
      </c>
      <c r="B297" s="39">
        <v>41590</v>
      </c>
      <c r="C297" s="41">
        <v>0</v>
      </c>
    </row>
    <row r="298" spans="1:3" x14ac:dyDescent="0.2">
      <c r="A298" s="39">
        <v>41591</v>
      </c>
      <c r="B298" s="39">
        <v>41591</v>
      </c>
      <c r="C298" s="41">
        <v>0.6</v>
      </c>
    </row>
    <row r="299" spans="1:3" x14ac:dyDescent="0.2">
      <c r="A299" s="39">
        <v>41592</v>
      </c>
      <c r="B299" s="39">
        <v>41592</v>
      </c>
      <c r="C299" s="41">
        <v>0</v>
      </c>
    </row>
    <row r="300" spans="1:3" x14ac:dyDescent="0.2">
      <c r="A300" s="39">
        <v>41593</v>
      </c>
      <c r="B300" s="39">
        <v>41593</v>
      </c>
      <c r="C300" s="41">
        <v>0</v>
      </c>
    </row>
    <row r="301" spans="1:3" x14ac:dyDescent="0.2">
      <c r="A301" s="39">
        <v>41594</v>
      </c>
      <c r="B301" s="39">
        <v>41594</v>
      </c>
      <c r="C301" s="41">
        <v>0</v>
      </c>
    </row>
    <row r="302" spans="1:3" x14ac:dyDescent="0.2">
      <c r="A302" s="39">
        <v>41595</v>
      </c>
      <c r="B302" s="39">
        <v>41595</v>
      </c>
      <c r="C302" s="41">
        <v>0</v>
      </c>
    </row>
    <row r="303" spans="1:3" x14ac:dyDescent="0.2">
      <c r="A303" s="39">
        <v>41596</v>
      </c>
      <c r="B303" s="39">
        <v>41596</v>
      </c>
      <c r="C303" s="41">
        <v>0</v>
      </c>
    </row>
    <row r="304" spans="1:3" x14ac:dyDescent="0.2">
      <c r="A304" s="39">
        <v>41597</v>
      </c>
      <c r="B304" s="39">
        <v>41597</v>
      </c>
      <c r="C304" s="41">
        <v>0</v>
      </c>
    </row>
    <row r="305" spans="1:3" x14ac:dyDescent="0.2">
      <c r="A305" s="39">
        <v>41598</v>
      </c>
      <c r="B305" s="39">
        <v>41598</v>
      </c>
      <c r="C305" s="41">
        <v>0</v>
      </c>
    </row>
    <row r="306" spans="1:3" x14ac:dyDescent="0.2">
      <c r="A306" s="39">
        <v>41599</v>
      </c>
      <c r="B306" s="39">
        <v>41599</v>
      </c>
      <c r="C306" s="41">
        <v>0</v>
      </c>
    </row>
    <row r="307" spans="1:3" x14ac:dyDescent="0.2">
      <c r="A307" s="39">
        <v>41600</v>
      </c>
      <c r="B307" s="39">
        <v>41600</v>
      </c>
      <c r="C307" s="41">
        <v>0</v>
      </c>
    </row>
    <row r="308" spans="1:3" x14ac:dyDescent="0.2">
      <c r="A308" s="39">
        <v>41601</v>
      </c>
      <c r="B308" s="39">
        <v>41601</v>
      </c>
      <c r="C308" s="41">
        <v>0</v>
      </c>
    </row>
    <row r="309" spans="1:3" x14ac:dyDescent="0.2">
      <c r="A309" s="39">
        <v>41602</v>
      </c>
      <c r="B309" s="39">
        <v>41602</v>
      </c>
      <c r="C309" s="41">
        <v>0</v>
      </c>
    </row>
    <row r="310" spans="1:3" x14ac:dyDescent="0.2">
      <c r="A310" s="39">
        <v>41603</v>
      </c>
      <c r="B310" s="39">
        <v>41603</v>
      </c>
      <c r="C310" s="41">
        <v>0</v>
      </c>
    </row>
    <row r="311" spans="1:3" x14ac:dyDescent="0.2">
      <c r="A311" s="39">
        <v>41604</v>
      </c>
      <c r="B311" s="39">
        <v>41604</v>
      </c>
      <c r="C311" s="41">
        <v>0</v>
      </c>
    </row>
    <row r="312" spans="1:3" x14ac:dyDescent="0.2">
      <c r="A312" s="39">
        <v>41605</v>
      </c>
      <c r="B312" s="39">
        <v>41605</v>
      </c>
      <c r="C312" s="41">
        <v>0</v>
      </c>
    </row>
    <row r="313" spans="1:3" x14ac:dyDescent="0.2">
      <c r="A313" s="39">
        <v>41606</v>
      </c>
      <c r="B313" s="39">
        <v>41606</v>
      </c>
      <c r="C313" s="41">
        <v>1.3</v>
      </c>
    </row>
    <row r="314" spans="1:3" x14ac:dyDescent="0.2">
      <c r="A314" s="39">
        <v>41607</v>
      </c>
      <c r="B314" s="39">
        <v>41607</v>
      </c>
      <c r="C314" s="41">
        <v>0.1</v>
      </c>
    </row>
    <row r="315" spans="1:3" x14ac:dyDescent="0.2">
      <c r="A315" s="39">
        <v>41608</v>
      </c>
      <c r="B315" s="39">
        <v>41608</v>
      </c>
      <c r="C315" s="41">
        <v>0</v>
      </c>
    </row>
    <row r="316" spans="1:3" x14ac:dyDescent="0.2">
      <c r="A316" s="39">
        <v>41609</v>
      </c>
      <c r="B316" s="39">
        <v>41609</v>
      </c>
      <c r="C316" s="41">
        <v>0</v>
      </c>
    </row>
    <row r="317" spans="1:3" x14ac:dyDescent="0.2">
      <c r="A317" s="39">
        <v>41610</v>
      </c>
      <c r="B317" s="39">
        <v>41610</v>
      </c>
      <c r="C317" s="41">
        <v>0</v>
      </c>
    </row>
    <row r="318" spans="1:3" x14ac:dyDescent="0.2">
      <c r="A318" s="39">
        <v>41611</v>
      </c>
      <c r="B318" s="39">
        <v>41611</v>
      </c>
      <c r="C318" s="41">
        <v>0</v>
      </c>
    </row>
    <row r="319" spans="1:3" x14ac:dyDescent="0.2">
      <c r="A319" s="39">
        <v>41612</v>
      </c>
      <c r="B319" s="39">
        <v>41612</v>
      </c>
      <c r="C319" s="41">
        <v>0</v>
      </c>
    </row>
    <row r="320" spans="1:3" x14ac:dyDescent="0.2">
      <c r="A320" s="39">
        <v>41613</v>
      </c>
      <c r="B320" s="39">
        <v>41613</v>
      </c>
      <c r="C320" s="41">
        <v>0</v>
      </c>
    </row>
    <row r="321" spans="1:3" x14ac:dyDescent="0.2">
      <c r="A321" s="39">
        <v>41614</v>
      </c>
      <c r="B321" s="39">
        <v>41614</v>
      </c>
      <c r="C321" s="41">
        <v>0</v>
      </c>
    </row>
    <row r="322" spans="1:3" x14ac:dyDescent="0.2">
      <c r="A322" s="39">
        <v>41615</v>
      </c>
      <c r="B322" s="39">
        <v>41615</v>
      </c>
      <c r="C322" s="41">
        <v>0</v>
      </c>
    </row>
    <row r="323" spans="1:3" x14ac:dyDescent="0.2">
      <c r="A323" s="39">
        <v>41616</v>
      </c>
      <c r="B323" s="39">
        <v>41616</v>
      </c>
      <c r="C323" s="41">
        <v>0</v>
      </c>
    </row>
    <row r="324" spans="1:3" x14ac:dyDescent="0.2">
      <c r="A324" s="39">
        <v>41617</v>
      </c>
      <c r="B324" s="39">
        <v>41617</v>
      </c>
      <c r="C324" s="41">
        <v>0</v>
      </c>
    </row>
    <row r="325" spans="1:3" x14ac:dyDescent="0.2">
      <c r="A325" s="39">
        <v>41618</v>
      </c>
      <c r="B325" s="39">
        <v>41618</v>
      </c>
      <c r="C325" s="41">
        <v>0</v>
      </c>
    </row>
    <row r="326" spans="1:3" x14ac:dyDescent="0.2">
      <c r="A326" s="39">
        <v>41619</v>
      </c>
      <c r="B326" s="39">
        <v>41619</v>
      </c>
      <c r="C326" s="41">
        <v>0</v>
      </c>
    </row>
    <row r="327" spans="1:3" x14ac:dyDescent="0.2">
      <c r="A327" s="39">
        <v>41620</v>
      </c>
      <c r="B327" s="39">
        <v>41620</v>
      </c>
      <c r="C327" s="41">
        <v>0</v>
      </c>
    </row>
    <row r="328" spans="1:3" x14ac:dyDescent="0.2">
      <c r="A328" s="39">
        <v>41621</v>
      </c>
      <c r="B328" s="39">
        <v>41621</v>
      </c>
      <c r="C328" s="41">
        <v>0</v>
      </c>
    </row>
    <row r="329" spans="1:3" x14ac:dyDescent="0.2">
      <c r="A329" s="39">
        <v>41622</v>
      </c>
      <c r="B329" s="39">
        <v>41622</v>
      </c>
      <c r="C329" s="41">
        <v>0</v>
      </c>
    </row>
    <row r="330" spans="1:3" x14ac:dyDescent="0.2">
      <c r="A330" s="39">
        <v>41623</v>
      </c>
      <c r="B330" s="39">
        <v>41623</v>
      </c>
      <c r="C330" s="41">
        <v>0</v>
      </c>
    </row>
    <row r="331" spans="1:3" x14ac:dyDescent="0.2">
      <c r="A331" s="39">
        <v>41624</v>
      </c>
      <c r="B331" s="39">
        <v>41624</v>
      </c>
      <c r="C331" s="41">
        <v>0</v>
      </c>
    </row>
    <row r="332" spans="1:3" x14ac:dyDescent="0.2">
      <c r="A332" s="39">
        <v>41625</v>
      </c>
      <c r="B332" s="39">
        <v>41625</v>
      </c>
      <c r="C332" s="41">
        <v>0</v>
      </c>
    </row>
    <row r="333" spans="1:3" x14ac:dyDescent="0.2">
      <c r="A333" s="39">
        <v>41626</v>
      </c>
      <c r="B333" s="39">
        <v>41626</v>
      </c>
      <c r="C333" s="41">
        <v>0</v>
      </c>
    </row>
    <row r="334" spans="1:3" x14ac:dyDescent="0.2">
      <c r="A334" s="39">
        <v>41627</v>
      </c>
      <c r="B334" s="39">
        <v>41627</v>
      </c>
      <c r="C334" s="41">
        <v>0</v>
      </c>
    </row>
    <row r="335" spans="1:3" x14ac:dyDescent="0.2">
      <c r="A335" s="39">
        <v>41628</v>
      </c>
      <c r="B335" s="39">
        <v>41628</v>
      </c>
      <c r="C335" s="41">
        <v>0</v>
      </c>
    </row>
    <row r="336" spans="1:3" x14ac:dyDescent="0.2">
      <c r="A336" s="39">
        <v>41629</v>
      </c>
      <c r="B336" s="39">
        <v>41629</v>
      </c>
      <c r="C336" s="41">
        <v>0</v>
      </c>
    </row>
    <row r="337" spans="1:3" x14ac:dyDescent="0.2">
      <c r="A337" s="39">
        <v>41630</v>
      </c>
      <c r="B337" s="39">
        <v>41630</v>
      </c>
      <c r="C337" s="41">
        <v>0</v>
      </c>
    </row>
    <row r="338" spans="1:3" x14ac:dyDescent="0.2">
      <c r="A338" s="39">
        <v>41631</v>
      </c>
      <c r="B338" s="39">
        <v>41631</v>
      </c>
      <c r="C338" s="41">
        <v>0</v>
      </c>
    </row>
    <row r="339" spans="1:3" x14ac:dyDescent="0.2">
      <c r="A339" s="39">
        <v>41632</v>
      </c>
      <c r="B339" s="39">
        <v>41632</v>
      </c>
      <c r="C339" s="41">
        <v>0</v>
      </c>
    </row>
    <row r="340" spans="1:3" x14ac:dyDescent="0.2">
      <c r="A340" s="39">
        <v>41633</v>
      </c>
      <c r="B340" s="39">
        <v>41633</v>
      </c>
      <c r="C340" s="41">
        <v>0</v>
      </c>
    </row>
    <row r="341" spans="1:3" x14ac:dyDescent="0.2">
      <c r="A341" s="39">
        <v>41634</v>
      </c>
      <c r="B341" s="39">
        <v>41634</v>
      </c>
      <c r="C341" s="41">
        <v>0</v>
      </c>
    </row>
    <row r="342" spans="1:3" x14ac:dyDescent="0.2">
      <c r="A342" s="39">
        <v>41635</v>
      </c>
      <c r="B342" s="39">
        <v>41635</v>
      </c>
      <c r="C342" s="41">
        <v>0</v>
      </c>
    </row>
    <row r="343" spans="1:3" x14ac:dyDescent="0.2">
      <c r="A343" s="39">
        <v>41636</v>
      </c>
      <c r="B343" s="39">
        <v>41636</v>
      </c>
      <c r="C343" s="41">
        <v>0</v>
      </c>
    </row>
    <row r="344" spans="1:3" x14ac:dyDescent="0.2">
      <c r="A344" s="39">
        <v>41637</v>
      </c>
      <c r="B344" s="39">
        <v>41637</v>
      </c>
      <c r="C344" s="41">
        <v>0</v>
      </c>
    </row>
    <row r="345" spans="1:3" x14ac:dyDescent="0.2">
      <c r="A345" s="39">
        <v>41638</v>
      </c>
      <c r="B345" s="39">
        <v>41638</v>
      </c>
      <c r="C345" s="41">
        <v>0</v>
      </c>
    </row>
    <row r="346" spans="1:3" x14ac:dyDescent="0.2">
      <c r="A346" s="39">
        <v>41639</v>
      </c>
      <c r="B346" s="39">
        <v>41639</v>
      </c>
      <c r="C346" s="41">
        <v>0</v>
      </c>
    </row>
    <row r="347" spans="1:3" x14ac:dyDescent="0.2">
      <c r="A347" s="39">
        <v>41640</v>
      </c>
      <c r="B347" s="39">
        <v>41640</v>
      </c>
      <c r="C347" s="41">
        <v>0</v>
      </c>
    </row>
    <row r="348" spans="1:3" x14ac:dyDescent="0.2">
      <c r="A348" s="39">
        <v>41641</v>
      </c>
      <c r="B348" s="39">
        <v>41641</v>
      </c>
      <c r="C348" s="41">
        <v>0</v>
      </c>
    </row>
    <row r="349" spans="1:3" x14ac:dyDescent="0.2">
      <c r="A349" s="39">
        <v>41642</v>
      </c>
      <c r="B349" s="39">
        <v>41642</v>
      </c>
      <c r="C349" s="41">
        <v>0</v>
      </c>
    </row>
    <row r="350" spans="1:3" x14ac:dyDescent="0.2">
      <c r="A350" s="39">
        <v>41643</v>
      </c>
      <c r="B350" s="39">
        <v>41643</v>
      </c>
      <c r="C350" s="41">
        <v>0</v>
      </c>
    </row>
    <row r="351" spans="1:3" x14ac:dyDescent="0.2">
      <c r="A351" s="39">
        <v>41644</v>
      </c>
      <c r="B351" s="39">
        <v>41644</v>
      </c>
      <c r="C351" s="41">
        <v>0</v>
      </c>
    </row>
    <row r="352" spans="1:3" x14ac:dyDescent="0.2">
      <c r="A352" s="39">
        <v>41645</v>
      </c>
      <c r="B352" s="39">
        <v>41645</v>
      </c>
      <c r="C352" s="41">
        <v>0</v>
      </c>
    </row>
    <row r="353" spans="1:3" x14ac:dyDescent="0.2">
      <c r="A353" s="39">
        <v>41646</v>
      </c>
      <c r="B353" s="39">
        <v>41646</v>
      </c>
      <c r="C353" s="41">
        <v>0</v>
      </c>
    </row>
    <row r="354" spans="1:3" x14ac:dyDescent="0.2">
      <c r="A354" s="39">
        <v>41647</v>
      </c>
      <c r="B354" s="39">
        <v>41647</v>
      </c>
      <c r="C354" s="41">
        <v>0</v>
      </c>
    </row>
    <row r="355" spans="1:3" x14ac:dyDescent="0.2">
      <c r="A355" s="39">
        <v>41648</v>
      </c>
      <c r="B355" s="39">
        <v>41648</v>
      </c>
      <c r="C355" s="41">
        <v>0</v>
      </c>
    </row>
    <row r="356" spans="1:3" x14ac:dyDescent="0.2">
      <c r="A356" s="39">
        <v>41649</v>
      </c>
      <c r="B356" s="39">
        <v>41649</v>
      </c>
      <c r="C356" s="41">
        <v>0</v>
      </c>
    </row>
    <row r="357" spans="1:3" x14ac:dyDescent="0.2">
      <c r="A357" s="39">
        <v>41650</v>
      </c>
      <c r="B357" s="39">
        <v>41650</v>
      </c>
      <c r="C357" s="41">
        <v>0</v>
      </c>
    </row>
    <row r="358" spans="1:3" x14ac:dyDescent="0.2">
      <c r="A358" s="39">
        <v>41651</v>
      </c>
      <c r="B358" s="39">
        <v>41651</v>
      </c>
      <c r="C358" s="41">
        <v>0</v>
      </c>
    </row>
    <row r="359" spans="1:3" x14ac:dyDescent="0.2">
      <c r="A359" s="39">
        <v>41652</v>
      </c>
      <c r="B359" s="39">
        <v>41652</v>
      </c>
      <c r="C359" s="41">
        <v>0</v>
      </c>
    </row>
    <row r="360" spans="1:3" x14ac:dyDescent="0.2">
      <c r="A360" s="39">
        <v>41653</v>
      </c>
      <c r="B360" s="39">
        <v>41653</v>
      </c>
      <c r="C360" s="41">
        <v>0</v>
      </c>
    </row>
    <row r="361" spans="1:3" x14ac:dyDescent="0.2">
      <c r="A361" s="39">
        <v>41654</v>
      </c>
      <c r="B361" s="39">
        <v>41654</v>
      </c>
      <c r="C361" s="41">
        <v>0</v>
      </c>
    </row>
    <row r="362" spans="1:3" x14ac:dyDescent="0.2">
      <c r="A362" s="39">
        <v>41655</v>
      </c>
      <c r="B362" s="39">
        <v>41655</v>
      </c>
      <c r="C362" s="41">
        <v>0</v>
      </c>
    </row>
    <row r="363" spans="1:3" x14ac:dyDescent="0.2">
      <c r="A363" s="39">
        <v>41656</v>
      </c>
      <c r="B363" s="39">
        <v>41656</v>
      </c>
      <c r="C363" s="41">
        <v>0</v>
      </c>
    </row>
    <row r="364" spans="1:3" x14ac:dyDescent="0.2">
      <c r="A364" s="39">
        <v>41657</v>
      </c>
      <c r="B364" s="39">
        <v>41657</v>
      </c>
      <c r="C364" s="41">
        <v>0</v>
      </c>
    </row>
    <row r="365" spans="1:3" x14ac:dyDescent="0.2">
      <c r="A365" s="39">
        <v>41658</v>
      </c>
      <c r="B365" s="39">
        <v>41658</v>
      </c>
      <c r="C365" s="41">
        <v>0</v>
      </c>
    </row>
    <row r="366" spans="1:3" x14ac:dyDescent="0.2">
      <c r="A366" s="39">
        <v>41659</v>
      </c>
      <c r="B366" s="39">
        <v>41659</v>
      </c>
      <c r="C366" s="41">
        <v>0</v>
      </c>
    </row>
    <row r="367" spans="1:3" x14ac:dyDescent="0.2">
      <c r="A367" s="39">
        <v>41660</v>
      </c>
      <c r="B367" s="39">
        <v>41660</v>
      </c>
      <c r="C367" s="41">
        <v>0</v>
      </c>
    </row>
    <row r="368" spans="1:3" x14ac:dyDescent="0.2">
      <c r="A368" s="39">
        <v>41661</v>
      </c>
      <c r="B368" s="39">
        <v>41661</v>
      </c>
      <c r="C368" s="41">
        <v>0</v>
      </c>
    </row>
    <row r="369" spans="1:3" x14ac:dyDescent="0.2">
      <c r="A369" s="39">
        <v>41662</v>
      </c>
      <c r="B369" s="39">
        <v>41662</v>
      </c>
      <c r="C369" s="41">
        <v>0</v>
      </c>
    </row>
    <row r="370" spans="1:3" x14ac:dyDescent="0.2">
      <c r="A370" s="39">
        <v>41663</v>
      </c>
      <c r="B370" s="39">
        <v>41663</v>
      </c>
      <c r="C370" s="41">
        <v>0</v>
      </c>
    </row>
    <row r="371" spans="1:3" x14ac:dyDescent="0.2">
      <c r="A371" s="39">
        <v>41664</v>
      </c>
      <c r="B371" s="39">
        <v>41664</v>
      </c>
      <c r="C371" s="41">
        <v>0</v>
      </c>
    </row>
    <row r="372" spans="1:3" x14ac:dyDescent="0.2">
      <c r="A372" s="39">
        <v>41665</v>
      </c>
      <c r="B372" s="39">
        <v>41665</v>
      </c>
      <c r="C372" s="41">
        <v>0</v>
      </c>
    </row>
    <row r="373" spans="1:3" x14ac:dyDescent="0.2">
      <c r="A373" s="39">
        <v>41666</v>
      </c>
      <c r="B373" s="39">
        <v>41666</v>
      </c>
      <c r="C373" s="41">
        <v>0</v>
      </c>
    </row>
    <row r="374" spans="1:3" x14ac:dyDescent="0.2">
      <c r="A374" s="39">
        <v>41667</v>
      </c>
      <c r="B374" s="39">
        <v>41667</v>
      </c>
      <c r="C374" s="41">
        <v>0</v>
      </c>
    </row>
    <row r="375" spans="1:3" x14ac:dyDescent="0.2">
      <c r="A375" s="39">
        <v>41668</v>
      </c>
      <c r="B375" s="39">
        <v>41668</v>
      </c>
      <c r="C375" s="41">
        <v>0</v>
      </c>
    </row>
    <row r="376" spans="1:3" x14ac:dyDescent="0.2">
      <c r="A376" s="39">
        <v>41669</v>
      </c>
      <c r="B376" s="39">
        <v>41669</v>
      </c>
      <c r="C376" s="41">
        <v>0</v>
      </c>
    </row>
    <row r="377" spans="1:3" x14ac:dyDescent="0.2">
      <c r="A377" s="39">
        <v>41670</v>
      </c>
      <c r="B377" s="39">
        <v>41670</v>
      </c>
      <c r="C377" s="41">
        <v>0</v>
      </c>
    </row>
    <row r="378" spans="1:3" x14ac:dyDescent="0.2">
      <c r="A378" s="39">
        <v>41671</v>
      </c>
      <c r="B378" s="39">
        <v>41671</v>
      </c>
      <c r="C378" s="41">
        <v>0</v>
      </c>
    </row>
    <row r="379" spans="1:3" x14ac:dyDescent="0.2">
      <c r="A379" s="39">
        <v>41672</v>
      </c>
      <c r="B379" s="39">
        <v>41672</v>
      </c>
      <c r="C379" s="41">
        <v>0</v>
      </c>
    </row>
    <row r="380" spans="1:3" x14ac:dyDescent="0.2">
      <c r="A380" s="39">
        <v>41673</v>
      </c>
      <c r="B380" s="39">
        <v>41673</v>
      </c>
      <c r="C380" s="41">
        <v>0</v>
      </c>
    </row>
    <row r="381" spans="1:3" x14ac:dyDescent="0.2">
      <c r="A381" s="39">
        <v>41674</v>
      </c>
      <c r="B381" s="39">
        <v>41674</v>
      </c>
      <c r="C381" s="41">
        <v>0</v>
      </c>
    </row>
    <row r="382" spans="1:3" x14ac:dyDescent="0.2">
      <c r="A382" s="39">
        <v>41675</v>
      </c>
      <c r="B382" s="39">
        <v>41675</v>
      </c>
      <c r="C382" s="41">
        <v>0</v>
      </c>
    </row>
    <row r="383" spans="1:3" x14ac:dyDescent="0.2">
      <c r="A383" s="39">
        <v>41676</v>
      </c>
      <c r="B383" s="39">
        <v>41676</v>
      </c>
      <c r="C383" s="41">
        <v>0</v>
      </c>
    </row>
    <row r="384" spans="1:3" x14ac:dyDescent="0.2">
      <c r="A384" s="39">
        <v>41677</v>
      </c>
      <c r="B384" s="39">
        <v>41677</v>
      </c>
      <c r="C384" s="41">
        <v>0</v>
      </c>
    </row>
    <row r="385" spans="1:3" x14ac:dyDescent="0.2">
      <c r="A385" s="39">
        <v>41678</v>
      </c>
      <c r="B385" s="39">
        <v>41678</v>
      </c>
      <c r="C385" s="41">
        <v>0</v>
      </c>
    </row>
    <row r="386" spans="1:3" x14ac:dyDescent="0.2">
      <c r="A386" s="39">
        <v>41679</v>
      </c>
      <c r="B386" s="39">
        <v>41679</v>
      </c>
      <c r="C386" s="41">
        <v>0</v>
      </c>
    </row>
    <row r="387" spans="1:3" x14ac:dyDescent="0.2">
      <c r="A387" s="39">
        <v>41680</v>
      </c>
      <c r="B387" s="39">
        <v>41680</v>
      </c>
      <c r="C387" s="41">
        <v>0</v>
      </c>
    </row>
    <row r="388" spans="1:3" x14ac:dyDescent="0.2">
      <c r="A388" s="39">
        <v>41681</v>
      </c>
      <c r="B388" s="39">
        <v>41681</v>
      </c>
      <c r="C388" s="41">
        <v>0</v>
      </c>
    </row>
    <row r="389" spans="1:3" x14ac:dyDescent="0.2">
      <c r="A389" s="39">
        <v>41682</v>
      </c>
      <c r="B389" s="39">
        <v>41682</v>
      </c>
      <c r="C389" s="41">
        <v>0</v>
      </c>
    </row>
    <row r="390" spans="1:3" x14ac:dyDescent="0.2">
      <c r="A390" s="39">
        <v>41683</v>
      </c>
      <c r="B390" s="39">
        <v>41683</v>
      </c>
      <c r="C390" s="41">
        <v>0</v>
      </c>
    </row>
    <row r="391" spans="1:3" x14ac:dyDescent="0.2">
      <c r="A391" s="39">
        <v>41684</v>
      </c>
      <c r="B391" s="39">
        <v>41684</v>
      </c>
      <c r="C391" s="41">
        <v>0</v>
      </c>
    </row>
    <row r="392" spans="1:3" x14ac:dyDescent="0.2">
      <c r="A392" s="39">
        <v>41685</v>
      </c>
      <c r="B392" s="39">
        <v>41685</v>
      </c>
      <c r="C392" s="41">
        <v>0</v>
      </c>
    </row>
    <row r="393" spans="1:3" x14ac:dyDescent="0.2">
      <c r="A393" s="39">
        <v>41686</v>
      </c>
      <c r="B393" s="39">
        <v>41686</v>
      </c>
      <c r="C393" s="41">
        <v>0</v>
      </c>
    </row>
    <row r="394" spans="1:3" x14ac:dyDescent="0.2">
      <c r="A394" s="39">
        <v>41687</v>
      </c>
      <c r="B394" s="39">
        <v>41687</v>
      </c>
      <c r="C394" s="41">
        <v>0</v>
      </c>
    </row>
    <row r="395" spans="1:3" x14ac:dyDescent="0.2">
      <c r="A395" s="39">
        <v>41688</v>
      </c>
      <c r="B395" s="39">
        <v>41688</v>
      </c>
      <c r="C395" s="41">
        <v>0</v>
      </c>
    </row>
    <row r="396" spans="1:3" x14ac:dyDescent="0.2">
      <c r="A396" s="39">
        <v>41689</v>
      </c>
      <c r="B396" s="39">
        <v>41689</v>
      </c>
      <c r="C396" s="41">
        <v>0</v>
      </c>
    </row>
    <row r="397" spans="1:3" x14ac:dyDescent="0.2">
      <c r="A397" s="39">
        <v>41690</v>
      </c>
      <c r="B397" s="39">
        <v>41690</v>
      </c>
      <c r="C397" s="41">
        <v>0</v>
      </c>
    </row>
    <row r="398" spans="1:3" x14ac:dyDescent="0.2">
      <c r="A398" s="39">
        <v>41691</v>
      </c>
      <c r="B398" s="39">
        <v>41691</v>
      </c>
      <c r="C398" s="41">
        <v>0</v>
      </c>
    </row>
    <row r="399" spans="1:3" x14ac:dyDescent="0.2">
      <c r="A399" s="39">
        <v>41692</v>
      </c>
      <c r="B399" s="39">
        <v>41692</v>
      </c>
      <c r="C399" s="41">
        <v>0</v>
      </c>
    </row>
    <row r="400" spans="1:3" x14ac:dyDescent="0.2">
      <c r="A400" s="39">
        <v>41693</v>
      </c>
      <c r="B400" s="39">
        <v>41693</v>
      </c>
      <c r="C400" s="41">
        <v>0</v>
      </c>
    </row>
    <row r="401" spans="1:3" x14ac:dyDescent="0.2">
      <c r="A401" s="39">
        <v>41694</v>
      </c>
      <c r="B401" s="39">
        <v>41694</v>
      </c>
      <c r="C401" s="41">
        <v>0</v>
      </c>
    </row>
    <row r="402" spans="1:3" x14ac:dyDescent="0.2">
      <c r="A402" s="39">
        <v>41695</v>
      </c>
      <c r="B402" s="39">
        <v>41695</v>
      </c>
      <c r="C402" s="41">
        <v>0</v>
      </c>
    </row>
    <row r="403" spans="1:3" x14ac:dyDescent="0.2">
      <c r="A403" s="39">
        <v>41696</v>
      </c>
      <c r="B403" s="39">
        <v>41696</v>
      </c>
      <c r="C403" s="41">
        <v>0</v>
      </c>
    </row>
    <row r="404" spans="1:3" x14ac:dyDescent="0.2">
      <c r="A404" s="39">
        <v>41697</v>
      </c>
      <c r="B404" s="39">
        <v>41697</v>
      </c>
      <c r="C404" s="41">
        <v>0</v>
      </c>
    </row>
    <row r="405" spans="1:3" x14ac:dyDescent="0.2">
      <c r="A405" s="39">
        <v>41698</v>
      </c>
      <c r="B405" s="39">
        <v>41698</v>
      </c>
      <c r="C405" s="41">
        <v>0</v>
      </c>
    </row>
    <row r="406" spans="1:3" x14ac:dyDescent="0.2">
      <c r="A406" s="39">
        <v>41699</v>
      </c>
      <c r="B406" s="39">
        <v>41699</v>
      </c>
      <c r="C406" s="41">
        <v>0</v>
      </c>
    </row>
    <row r="407" spans="1:3" x14ac:dyDescent="0.2">
      <c r="A407" s="39">
        <v>41700</v>
      </c>
      <c r="B407" s="39">
        <v>41700</v>
      </c>
      <c r="C407" s="41">
        <v>0</v>
      </c>
    </row>
    <row r="408" spans="1:3" x14ac:dyDescent="0.2">
      <c r="A408" s="39">
        <v>41701</v>
      </c>
      <c r="B408" s="39">
        <v>41701</v>
      </c>
      <c r="C408" s="41">
        <v>0</v>
      </c>
    </row>
    <row r="409" spans="1:3" x14ac:dyDescent="0.2">
      <c r="A409" s="39">
        <v>41702</v>
      </c>
      <c r="B409" s="39">
        <v>41702</v>
      </c>
      <c r="C409" s="41">
        <v>0</v>
      </c>
    </row>
    <row r="410" spans="1:3" x14ac:dyDescent="0.2">
      <c r="A410" s="39">
        <v>41703</v>
      </c>
      <c r="B410" s="39">
        <v>41703</v>
      </c>
      <c r="C410" s="41">
        <v>0</v>
      </c>
    </row>
    <row r="411" spans="1:3" x14ac:dyDescent="0.2">
      <c r="A411" s="39">
        <v>41704</v>
      </c>
      <c r="B411" s="39">
        <v>41704</v>
      </c>
      <c r="C411" s="41">
        <v>0</v>
      </c>
    </row>
    <row r="412" spans="1:3" x14ac:dyDescent="0.2">
      <c r="A412" s="39">
        <v>41705</v>
      </c>
      <c r="B412" s="39">
        <v>41705</v>
      </c>
      <c r="C412" s="41">
        <v>0</v>
      </c>
    </row>
    <row r="413" spans="1:3" x14ac:dyDescent="0.2">
      <c r="A413" s="39">
        <v>41706</v>
      </c>
      <c r="B413" s="39">
        <v>41706</v>
      </c>
      <c r="C413" s="41">
        <v>0</v>
      </c>
    </row>
    <row r="414" spans="1:3" x14ac:dyDescent="0.2">
      <c r="A414" s="39">
        <v>41707</v>
      </c>
      <c r="B414" s="39">
        <v>41707</v>
      </c>
      <c r="C414" s="41">
        <v>0</v>
      </c>
    </row>
    <row r="415" spans="1:3" x14ac:dyDescent="0.2">
      <c r="A415" s="39">
        <v>41708</v>
      </c>
      <c r="B415" s="39">
        <v>41708</v>
      </c>
      <c r="C415" s="41">
        <v>0</v>
      </c>
    </row>
    <row r="416" spans="1:3" x14ac:dyDescent="0.2">
      <c r="A416" s="39">
        <v>41709</v>
      </c>
      <c r="B416" s="39">
        <v>41709</v>
      </c>
      <c r="C416" s="41">
        <v>0</v>
      </c>
    </row>
    <row r="417" spans="1:3" x14ac:dyDescent="0.2">
      <c r="A417" s="39">
        <v>41710</v>
      </c>
      <c r="B417" s="39">
        <v>41710</v>
      </c>
      <c r="C417" s="41">
        <v>0</v>
      </c>
    </row>
    <row r="418" spans="1:3" x14ac:dyDescent="0.2">
      <c r="A418" s="39">
        <v>41711</v>
      </c>
      <c r="B418" s="39">
        <v>41711</v>
      </c>
      <c r="C418" s="41">
        <v>0</v>
      </c>
    </row>
    <row r="419" spans="1:3" x14ac:dyDescent="0.2">
      <c r="A419" s="39">
        <v>41712</v>
      </c>
      <c r="B419" s="39">
        <v>41712</v>
      </c>
      <c r="C419" s="41">
        <v>0</v>
      </c>
    </row>
    <row r="420" spans="1:3" x14ac:dyDescent="0.2">
      <c r="A420" s="39">
        <v>41713</v>
      </c>
      <c r="B420" s="39">
        <v>41713</v>
      </c>
      <c r="C420" s="41">
        <v>0</v>
      </c>
    </row>
    <row r="421" spans="1:3" x14ac:dyDescent="0.2">
      <c r="A421" s="39">
        <v>41714</v>
      </c>
      <c r="B421" s="39">
        <v>41714</v>
      </c>
      <c r="C421" s="41">
        <v>0</v>
      </c>
    </row>
    <row r="422" spans="1:3" x14ac:dyDescent="0.2">
      <c r="A422" s="39">
        <v>41715</v>
      </c>
      <c r="B422" s="39">
        <v>41715</v>
      </c>
      <c r="C422" s="41">
        <v>0</v>
      </c>
    </row>
    <row r="423" spans="1:3" x14ac:dyDescent="0.2">
      <c r="A423" s="39">
        <v>41716</v>
      </c>
      <c r="B423" s="39">
        <v>41716</v>
      </c>
      <c r="C423" s="41">
        <v>0</v>
      </c>
    </row>
    <row r="424" spans="1:3" x14ac:dyDescent="0.2">
      <c r="A424" s="39">
        <v>41717</v>
      </c>
      <c r="B424" s="39">
        <v>41717</v>
      </c>
      <c r="C424" s="41">
        <v>0</v>
      </c>
    </row>
    <row r="425" spans="1:3" x14ac:dyDescent="0.2">
      <c r="A425" s="39">
        <v>41718</v>
      </c>
      <c r="B425" s="39">
        <v>41718</v>
      </c>
      <c r="C425" s="41">
        <v>0.2</v>
      </c>
    </row>
    <row r="426" spans="1:3" x14ac:dyDescent="0.2">
      <c r="A426" s="39">
        <v>41719</v>
      </c>
      <c r="B426" s="39">
        <v>41719</v>
      </c>
      <c r="C426" s="41">
        <v>0</v>
      </c>
    </row>
    <row r="427" spans="1:3" x14ac:dyDescent="0.2">
      <c r="A427" s="39">
        <v>41720</v>
      </c>
      <c r="B427" s="39">
        <v>41720</v>
      </c>
      <c r="C427" s="41">
        <v>0</v>
      </c>
    </row>
    <row r="428" spans="1:3" x14ac:dyDescent="0.2">
      <c r="A428" s="39">
        <v>41721</v>
      </c>
      <c r="B428" s="39">
        <v>41721</v>
      </c>
      <c r="C428" s="41">
        <v>0</v>
      </c>
    </row>
    <row r="429" spans="1:3" x14ac:dyDescent="0.2">
      <c r="A429" s="39">
        <v>41722</v>
      </c>
      <c r="B429" s="39">
        <v>41722</v>
      </c>
      <c r="C429" s="41">
        <v>0</v>
      </c>
    </row>
    <row r="430" spans="1:3" x14ac:dyDescent="0.2">
      <c r="A430" s="39">
        <v>41723</v>
      </c>
      <c r="B430" s="39">
        <v>41723</v>
      </c>
      <c r="C430" s="41">
        <v>0</v>
      </c>
    </row>
    <row r="431" spans="1:3" x14ac:dyDescent="0.2">
      <c r="A431" s="39">
        <v>41724</v>
      </c>
      <c r="B431" s="39">
        <v>41724</v>
      </c>
      <c r="C431" s="41">
        <v>0</v>
      </c>
    </row>
    <row r="432" spans="1:3" x14ac:dyDescent="0.2">
      <c r="A432" s="39">
        <v>41725</v>
      </c>
      <c r="B432" s="39">
        <v>41725</v>
      </c>
      <c r="C432" s="41">
        <v>0</v>
      </c>
    </row>
    <row r="433" spans="1:3" x14ac:dyDescent="0.2">
      <c r="A433" s="39">
        <v>41726</v>
      </c>
      <c r="B433" s="39">
        <v>41726</v>
      </c>
      <c r="C433" s="41">
        <v>0</v>
      </c>
    </row>
    <row r="434" spans="1:3" x14ac:dyDescent="0.2">
      <c r="A434" s="39">
        <v>41727</v>
      </c>
      <c r="B434" s="39">
        <v>41727</v>
      </c>
      <c r="C434" s="41">
        <v>0</v>
      </c>
    </row>
    <row r="435" spans="1:3" x14ac:dyDescent="0.2">
      <c r="A435" s="39">
        <v>41728</v>
      </c>
      <c r="B435" s="39">
        <v>41728</v>
      </c>
      <c r="C435" s="41">
        <v>0</v>
      </c>
    </row>
    <row r="436" spans="1:3" x14ac:dyDescent="0.2">
      <c r="A436" s="39">
        <v>41729</v>
      </c>
      <c r="B436" s="39">
        <v>41729</v>
      </c>
      <c r="C436" s="41">
        <v>0</v>
      </c>
    </row>
    <row r="437" spans="1:3" x14ac:dyDescent="0.2">
      <c r="A437" s="39">
        <v>41730</v>
      </c>
      <c r="B437" s="39">
        <v>41730</v>
      </c>
      <c r="C437" s="41">
        <v>0</v>
      </c>
    </row>
    <row r="438" spans="1:3" x14ac:dyDescent="0.2">
      <c r="A438" s="39">
        <v>41731</v>
      </c>
      <c r="B438" s="39">
        <v>41731</v>
      </c>
      <c r="C438" s="41">
        <v>0</v>
      </c>
    </row>
    <row r="439" spans="1:3" x14ac:dyDescent="0.2">
      <c r="A439" s="39">
        <v>41732</v>
      </c>
      <c r="B439" s="39">
        <v>41732</v>
      </c>
      <c r="C439" s="41">
        <v>0</v>
      </c>
    </row>
    <row r="440" spans="1:3" x14ac:dyDescent="0.2">
      <c r="A440" s="39">
        <v>41733</v>
      </c>
      <c r="B440" s="39">
        <v>41733</v>
      </c>
      <c r="C440" s="41">
        <v>0.6</v>
      </c>
    </row>
    <row r="441" spans="1:3" x14ac:dyDescent="0.2">
      <c r="A441" s="39">
        <v>41734</v>
      </c>
      <c r="B441" s="39">
        <v>41734</v>
      </c>
      <c r="C441" s="41">
        <v>0.8</v>
      </c>
    </row>
    <row r="442" spans="1:3" x14ac:dyDescent="0.2">
      <c r="A442" s="39">
        <v>41735</v>
      </c>
      <c r="B442" s="39">
        <v>41735</v>
      </c>
      <c r="C442" s="41">
        <v>0</v>
      </c>
    </row>
    <row r="443" spans="1:3" x14ac:dyDescent="0.2">
      <c r="A443" s="39">
        <v>41736</v>
      </c>
      <c r="B443" s="39">
        <v>41736</v>
      </c>
      <c r="C443" s="41">
        <v>0</v>
      </c>
    </row>
    <row r="444" spans="1:3" x14ac:dyDescent="0.2">
      <c r="A444" s="39">
        <v>41737</v>
      </c>
      <c r="B444" s="39">
        <v>41737</v>
      </c>
      <c r="C444" s="41">
        <v>0</v>
      </c>
    </row>
    <row r="445" spans="1:3" x14ac:dyDescent="0.2">
      <c r="A445" s="39">
        <v>41738</v>
      </c>
      <c r="B445" s="39">
        <v>41738</v>
      </c>
      <c r="C445" s="41">
        <v>0</v>
      </c>
    </row>
    <row r="446" spans="1:3" x14ac:dyDescent="0.2">
      <c r="A446" s="39">
        <v>41739</v>
      </c>
      <c r="B446" s="39">
        <v>41739</v>
      </c>
      <c r="C446" s="41">
        <v>0</v>
      </c>
    </row>
    <row r="447" spans="1:3" x14ac:dyDescent="0.2">
      <c r="A447" s="39">
        <v>41740</v>
      </c>
      <c r="B447" s="39">
        <v>41740</v>
      </c>
      <c r="C447" s="41">
        <v>0</v>
      </c>
    </row>
    <row r="448" spans="1:3" x14ac:dyDescent="0.2">
      <c r="A448" s="39">
        <v>41741</v>
      </c>
      <c r="B448" s="39">
        <v>41741</v>
      </c>
      <c r="C448" s="41">
        <v>0</v>
      </c>
    </row>
    <row r="449" spans="1:3" x14ac:dyDescent="0.2">
      <c r="A449" s="39">
        <v>41742</v>
      </c>
      <c r="B449" s="39">
        <v>41742</v>
      </c>
      <c r="C449" s="41">
        <v>0</v>
      </c>
    </row>
    <row r="450" spans="1:3" x14ac:dyDescent="0.2">
      <c r="A450" s="39">
        <v>41743</v>
      </c>
      <c r="B450" s="39">
        <v>41743</v>
      </c>
      <c r="C450" s="41">
        <v>0</v>
      </c>
    </row>
    <row r="451" spans="1:3" x14ac:dyDescent="0.2">
      <c r="A451" s="39">
        <v>41744</v>
      </c>
      <c r="B451" s="39">
        <v>41744</v>
      </c>
      <c r="C451" s="41">
        <v>0</v>
      </c>
    </row>
    <row r="452" spans="1:3" x14ac:dyDescent="0.2">
      <c r="A452" s="39">
        <v>41745</v>
      </c>
      <c r="B452" s="39">
        <v>41745</v>
      </c>
      <c r="C452" s="41">
        <v>4.5999999999999996</v>
      </c>
    </row>
    <row r="453" spans="1:3" x14ac:dyDescent="0.2">
      <c r="A453" s="39">
        <v>41746</v>
      </c>
      <c r="B453" s="39">
        <v>41746</v>
      </c>
      <c r="C453" s="41">
        <v>0</v>
      </c>
    </row>
    <row r="454" spans="1:3" x14ac:dyDescent="0.2">
      <c r="A454" s="39">
        <v>41747</v>
      </c>
      <c r="B454" s="39">
        <v>41747</v>
      </c>
      <c r="C454" s="41">
        <v>0</v>
      </c>
    </row>
    <row r="455" spans="1:3" x14ac:dyDescent="0.2">
      <c r="A455" s="39">
        <v>41748</v>
      </c>
      <c r="B455" s="39">
        <v>41748</v>
      </c>
      <c r="C455" s="41">
        <v>0</v>
      </c>
    </row>
    <row r="456" spans="1:3" x14ac:dyDescent="0.2">
      <c r="A456" s="39">
        <v>41749</v>
      </c>
      <c r="B456" s="39">
        <v>41749</v>
      </c>
      <c r="C456" s="41">
        <v>0</v>
      </c>
    </row>
    <row r="457" spans="1:3" x14ac:dyDescent="0.2">
      <c r="A457" s="39">
        <v>41750</v>
      </c>
      <c r="B457" s="39">
        <v>41750</v>
      </c>
      <c r="C457" s="41">
        <v>0</v>
      </c>
    </row>
    <row r="458" spans="1:3" x14ac:dyDescent="0.2">
      <c r="A458" s="39">
        <v>41751</v>
      </c>
      <c r="B458" s="39">
        <v>41751</v>
      </c>
      <c r="C458" s="41">
        <v>0</v>
      </c>
    </row>
    <row r="459" spans="1:3" x14ac:dyDescent="0.2">
      <c r="A459" s="39">
        <v>41752</v>
      </c>
      <c r="B459" s="39">
        <v>41752</v>
      </c>
      <c r="C459" s="41">
        <v>0</v>
      </c>
    </row>
    <row r="460" spans="1:3" x14ac:dyDescent="0.2">
      <c r="A460" s="39">
        <v>41753</v>
      </c>
      <c r="B460" s="39">
        <v>41753</v>
      </c>
      <c r="C460" s="41">
        <v>0</v>
      </c>
    </row>
    <row r="461" spans="1:3" x14ac:dyDescent="0.2">
      <c r="A461" s="39">
        <v>41754</v>
      </c>
      <c r="B461" s="39">
        <v>41754</v>
      </c>
      <c r="C461" s="41">
        <v>0</v>
      </c>
    </row>
    <row r="462" spans="1:3" x14ac:dyDescent="0.2">
      <c r="A462" s="39">
        <v>41755</v>
      </c>
      <c r="B462" s="39">
        <v>41755</v>
      </c>
      <c r="C462" s="41">
        <v>0</v>
      </c>
    </row>
    <row r="463" spans="1:3" x14ac:dyDescent="0.2">
      <c r="A463" s="39">
        <v>41756</v>
      </c>
      <c r="B463" s="39">
        <v>41756</v>
      </c>
      <c r="C463" s="41">
        <v>0</v>
      </c>
    </row>
    <row r="464" spans="1:3" x14ac:dyDescent="0.2">
      <c r="A464" s="39">
        <v>41757</v>
      </c>
      <c r="B464" s="39">
        <v>41757</v>
      </c>
      <c r="C464" s="41">
        <v>0</v>
      </c>
    </row>
    <row r="465" spans="1:3" x14ac:dyDescent="0.2">
      <c r="A465" s="39">
        <v>41758</v>
      </c>
      <c r="B465" s="39">
        <v>41758</v>
      </c>
      <c r="C465" s="41">
        <v>0</v>
      </c>
    </row>
    <row r="466" spans="1:3" x14ac:dyDescent="0.2">
      <c r="A466" s="39">
        <v>41759</v>
      </c>
      <c r="B466" s="39">
        <v>41759</v>
      </c>
      <c r="C466" s="41">
        <v>0.9</v>
      </c>
    </row>
    <row r="467" spans="1:3" x14ac:dyDescent="0.2">
      <c r="A467" s="39">
        <v>41760</v>
      </c>
      <c r="B467" s="39">
        <v>41760</v>
      </c>
      <c r="C467" s="41">
        <v>0.1</v>
      </c>
    </row>
    <row r="468" spans="1:3" x14ac:dyDescent="0.2">
      <c r="A468" s="39">
        <v>41761</v>
      </c>
      <c r="B468" s="39">
        <v>41761</v>
      </c>
      <c r="C468" s="41">
        <v>0</v>
      </c>
    </row>
    <row r="469" spans="1:3" x14ac:dyDescent="0.2">
      <c r="A469" s="39">
        <v>41762</v>
      </c>
      <c r="B469" s="39">
        <v>41762</v>
      </c>
      <c r="C469" s="41">
        <v>0</v>
      </c>
    </row>
    <row r="470" spans="1:3" x14ac:dyDescent="0.2">
      <c r="A470" s="39">
        <v>41763</v>
      </c>
      <c r="B470" s="39">
        <v>41763</v>
      </c>
      <c r="C470" s="41">
        <v>0</v>
      </c>
    </row>
    <row r="471" spans="1:3" x14ac:dyDescent="0.2">
      <c r="A471" s="39">
        <v>41764</v>
      </c>
      <c r="B471" s="39">
        <v>41764</v>
      </c>
      <c r="C471" s="41">
        <v>0</v>
      </c>
    </row>
    <row r="472" spans="1:3" x14ac:dyDescent="0.2">
      <c r="A472" s="39">
        <v>41765</v>
      </c>
      <c r="B472" s="39">
        <v>41765</v>
      </c>
      <c r="C472" s="41">
        <v>0</v>
      </c>
    </row>
    <row r="473" spans="1:3" x14ac:dyDescent="0.2">
      <c r="A473" s="39">
        <v>41766</v>
      </c>
      <c r="B473" s="39">
        <v>41766</v>
      </c>
      <c r="C473" s="41">
        <v>0</v>
      </c>
    </row>
    <row r="474" spans="1:3" x14ac:dyDescent="0.2">
      <c r="A474" s="39">
        <v>41767</v>
      </c>
      <c r="B474" s="39">
        <v>41767</v>
      </c>
      <c r="C474" s="41">
        <v>0</v>
      </c>
    </row>
    <row r="475" spans="1:3" x14ac:dyDescent="0.2">
      <c r="A475" s="39">
        <v>41768</v>
      </c>
      <c r="B475" s="39">
        <v>41768</v>
      </c>
      <c r="C475" s="41">
        <v>0</v>
      </c>
    </row>
    <row r="476" spans="1:3" x14ac:dyDescent="0.2">
      <c r="A476" s="39">
        <v>41769</v>
      </c>
      <c r="B476" s="39">
        <v>41769</v>
      </c>
      <c r="C476" s="41">
        <v>0</v>
      </c>
    </row>
    <row r="477" spans="1:3" x14ac:dyDescent="0.2">
      <c r="A477" s="39">
        <v>41770</v>
      </c>
      <c r="B477" s="39">
        <v>41770</v>
      </c>
      <c r="C477" s="41">
        <v>0</v>
      </c>
    </row>
    <row r="478" spans="1:3" x14ac:dyDescent="0.2">
      <c r="A478" s="39">
        <v>41771</v>
      </c>
      <c r="B478" s="39">
        <v>41771</v>
      </c>
      <c r="C478" s="41">
        <v>0</v>
      </c>
    </row>
    <row r="479" spans="1:3" x14ac:dyDescent="0.2">
      <c r="A479" s="39">
        <v>41772</v>
      </c>
      <c r="B479" s="39">
        <v>41772</v>
      </c>
      <c r="C479" s="41">
        <v>1.5</v>
      </c>
    </row>
    <row r="480" spans="1:3" x14ac:dyDescent="0.2">
      <c r="A480" s="39">
        <v>41773</v>
      </c>
      <c r="B480" s="39">
        <v>41773</v>
      </c>
      <c r="C480" s="41">
        <v>0</v>
      </c>
    </row>
    <row r="481" spans="1:3" x14ac:dyDescent="0.2">
      <c r="A481" s="39">
        <v>41774</v>
      </c>
      <c r="B481" s="39">
        <v>41774</v>
      </c>
      <c r="C481" s="41">
        <v>0.1</v>
      </c>
    </row>
    <row r="482" spans="1:3" x14ac:dyDescent="0.2">
      <c r="A482" s="39">
        <v>41775</v>
      </c>
      <c r="B482" s="39">
        <v>41775</v>
      </c>
      <c r="C482" s="41">
        <v>0</v>
      </c>
    </row>
    <row r="483" spans="1:3" x14ac:dyDescent="0.2">
      <c r="A483" s="39">
        <v>41776</v>
      </c>
      <c r="B483" s="39">
        <v>41776</v>
      </c>
      <c r="C483" s="41">
        <v>0.2</v>
      </c>
    </row>
    <row r="484" spans="1:3" x14ac:dyDescent="0.2">
      <c r="A484" s="39">
        <v>41777</v>
      </c>
      <c r="B484" s="39">
        <v>41777</v>
      </c>
      <c r="C484" s="41">
        <v>0</v>
      </c>
    </row>
    <row r="485" spans="1:3" x14ac:dyDescent="0.2">
      <c r="A485" s="39">
        <v>41778</v>
      </c>
      <c r="B485" s="39">
        <v>41778</v>
      </c>
      <c r="C485" s="41">
        <v>0</v>
      </c>
    </row>
    <row r="486" spans="1:3" x14ac:dyDescent="0.2">
      <c r="A486" s="39">
        <v>41779</v>
      </c>
      <c r="B486" s="39">
        <v>41779</v>
      </c>
      <c r="C486" s="41">
        <v>0.7</v>
      </c>
    </row>
    <row r="487" spans="1:3" x14ac:dyDescent="0.2">
      <c r="A487" s="39">
        <v>41780</v>
      </c>
      <c r="B487" s="39">
        <v>41780</v>
      </c>
      <c r="C487" s="41">
        <v>0.8</v>
      </c>
    </row>
    <row r="488" spans="1:3" x14ac:dyDescent="0.2">
      <c r="A488" s="39">
        <v>41781</v>
      </c>
      <c r="B488" s="39">
        <v>41781</v>
      </c>
      <c r="C488" s="41">
        <v>0.1</v>
      </c>
    </row>
    <row r="489" spans="1:3" x14ac:dyDescent="0.2">
      <c r="A489" s="39">
        <v>41782</v>
      </c>
      <c r="B489" s="39">
        <v>41782</v>
      </c>
      <c r="C489" s="41">
        <v>0</v>
      </c>
    </row>
    <row r="490" spans="1:3" x14ac:dyDescent="0.2">
      <c r="A490" s="39">
        <v>41783</v>
      </c>
      <c r="B490" s="39">
        <v>41783</v>
      </c>
      <c r="C490" s="41">
        <v>0.2</v>
      </c>
    </row>
    <row r="491" spans="1:3" x14ac:dyDescent="0.2">
      <c r="A491" s="39">
        <v>41784</v>
      </c>
      <c r="B491" s="39">
        <v>41784</v>
      </c>
      <c r="C491" s="41">
        <v>0</v>
      </c>
    </row>
    <row r="492" spans="1:3" x14ac:dyDescent="0.2">
      <c r="A492" s="39">
        <v>41785</v>
      </c>
      <c r="B492" s="39">
        <v>41785</v>
      </c>
      <c r="C492" s="41">
        <v>0.8</v>
      </c>
    </row>
    <row r="493" spans="1:3" x14ac:dyDescent="0.2">
      <c r="A493" s="39">
        <v>41786</v>
      </c>
      <c r="B493" s="39">
        <v>41786</v>
      </c>
      <c r="C493" s="41">
        <v>0</v>
      </c>
    </row>
    <row r="494" spans="1:3" x14ac:dyDescent="0.2">
      <c r="A494" s="39">
        <v>41787</v>
      </c>
      <c r="B494" s="39">
        <v>41787</v>
      </c>
      <c r="C494" s="41">
        <v>0</v>
      </c>
    </row>
    <row r="495" spans="1:3" x14ac:dyDescent="0.2">
      <c r="A495" s="39">
        <v>41788</v>
      </c>
      <c r="B495" s="39">
        <v>41788</v>
      </c>
      <c r="C495" s="41">
        <v>0.6</v>
      </c>
    </row>
    <row r="496" spans="1:3" x14ac:dyDescent="0.2">
      <c r="A496" s="39">
        <v>41789</v>
      </c>
      <c r="B496" s="39">
        <v>41789</v>
      </c>
      <c r="C496" s="41">
        <v>1.6</v>
      </c>
    </row>
    <row r="497" spans="1:3" x14ac:dyDescent="0.2">
      <c r="A497" s="39">
        <v>41790</v>
      </c>
      <c r="B497" s="39">
        <v>41790</v>
      </c>
      <c r="C497" s="41">
        <v>0.3</v>
      </c>
    </row>
    <row r="498" spans="1:3" x14ac:dyDescent="0.2">
      <c r="A498" s="39"/>
      <c r="B498" s="39"/>
      <c r="C498" s="41"/>
    </row>
    <row r="499" spans="1:3" x14ac:dyDescent="0.2">
      <c r="A499" s="39"/>
      <c r="B499" s="39"/>
      <c r="C499" s="41"/>
    </row>
    <row r="500" spans="1:3" x14ac:dyDescent="0.2">
      <c r="A500" s="39"/>
      <c r="B500" s="39"/>
      <c r="C500" s="41"/>
    </row>
    <row r="501" spans="1:3" x14ac:dyDescent="0.2">
      <c r="A501" s="39"/>
      <c r="B501" s="39"/>
      <c r="C501" s="41"/>
    </row>
    <row r="502" spans="1:3" x14ac:dyDescent="0.2">
      <c r="A502" s="39"/>
      <c r="B502" s="39"/>
      <c r="C502" s="41"/>
    </row>
    <row r="503" spans="1:3" x14ac:dyDescent="0.2">
      <c r="A503" s="39"/>
      <c r="B503" s="39"/>
      <c r="C503" s="41"/>
    </row>
    <row r="504" spans="1:3" x14ac:dyDescent="0.2">
      <c r="A504" s="39"/>
      <c r="B504" s="39"/>
      <c r="C504" s="41"/>
    </row>
    <row r="505" spans="1:3" x14ac:dyDescent="0.2">
      <c r="A505" s="39"/>
      <c r="B505" s="39"/>
      <c r="C505" s="41"/>
    </row>
    <row r="506" spans="1:3" x14ac:dyDescent="0.2">
      <c r="A506" s="39"/>
      <c r="B506" s="39"/>
      <c r="C506" s="41"/>
    </row>
    <row r="507" spans="1:3" x14ac:dyDescent="0.2">
      <c r="A507" s="39"/>
      <c r="B507" s="39"/>
      <c r="C507" s="41"/>
    </row>
    <row r="508" spans="1:3" x14ac:dyDescent="0.2">
      <c r="A508" s="39"/>
      <c r="B508" s="39"/>
      <c r="C508" s="41"/>
    </row>
    <row r="509" spans="1:3" x14ac:dyDescent="0.2">
      <c r="A509" s="39"/>
      <c r="B509" s="39"/>
      <c r="C509" s="41"/>
    </row>
    <row r="510" spans="1:3" x14ac:dyDescent="0.2">
      <c r="A510" s="39"/>
      <c r="B510" s="39"/>
      <c r="C510" s="41"/>
    </row>
    <row r="511" spans="1:3" x14ac:dyDescent="0.2">
      <c r="A511" s="39"/>
      <c r="B511" s="39"/>
      <c r="C511" s="41"/>
    </row>
    <row r="512" spans="1:3" x14ac:dyDescent="0.2">
      <c r="A512" s="39"/>
      <c r="B512" s="39"/>
      <c r="C512" s="41"/>
    </row>
    <row r="513" spans="1:3" x14ac:dyDescent="0.2">
      <c r="A513" s="39"/>
      <c r="B513" s="39"/>
      <c r="C513" s="41"/>
    </row>
    <row r="514" spans="1:3" x14ac:dyDescent="0.2">
      <c r="A514" s="39"/>
      <c r="B514" s="39"/>
      <c r="C514" s="41"/>
    </row>
    <row r="515" spans="1:3" x14ac:dyDescent="0.2">
      <c r="A515" s="39"/>
      <c r="B515" s="39"/>
      <c r="C515" s="41"/>
    </row>
    <row r="516" spans="1:3" x14ac:dyDescent="0.2">
      <c r="A516" s="39"/>
      <c r="B516" s="39"/>
      <c r="C516" s="41"/>
    </row>
    <row r="517" spans="1:3" x14ac:dyDescent="0.2">
      <c r="A517" s="39"/>
      <c r="B517" s="39"/>
      <c r="C517" s="41"/>
    </row>
    <row r="518" spans="1:3" x14ac:dyDescent="0.2">
      <c r="A518" s="39"/>
      <c r="B518" s="39"/>
      <c r="C518" s="41"/>
    </row>
    <row r="519" spans="1:3" x14ac:dyDescent="0.2">
      <c r="A519" s="39"/>
      <c r="B519" s="39"/>
      <c r="C519" s="41"/>
    </row>
    <row r="520" spans="1:3" x14ac:dyDescent="0.2">
      <c r="A520" s="39"/>
      <c r="B520" s="39"/>
      <c r="C520" s="41"/>
    </row>
    <row r="521" spans="1:3" x14ac:dyDescent="0.2">
      <c r="A521" s="39"/>
      <c r="B521" s="39"/>
      <c r="C521" s="41"/>
    </row>
    <row r="522" spans="1:3" x14ac:dyDescent="0.2">
      <c r="A522" s="39"/>
      <c r="B522" s="39"/>
      <c r="C522" s="41"/>
    </row>
    <row r="523" spans="1:3" x14ac:dyDescent="0.2">
      <c r="A523" s="39"/>
      <c r="B523" s="39"/>
      <c r="C523" s="41"/>
    </row>
    <row r="524" spans="1:3" x14ac:dyDescent="0.2">
      <c r="A524" s="39"/>
      <c r="B524" s="39"/>
      <c r="C524" s="41"/>
    </row>
    <row r="525" spans="1:3" x14ac:dyDescent="0.2">
      <c r="A525" s="39"/>
      <c r="B525" s="39"/>
      <c r="C525" s="41"/>
    </row>
    <row r="526" spans="1:3" x14ac:dyDescent="0.2">
      <c r="A526" s="39"/>
      <c r="B526" s="39"/>
      <c r="C526" s="41"/>
    </row>
    <row r="527" spans="1:3" x14ac:dyDescent="0.2">
      <c r="A527" s="39"/>
      <c r="B527" s="39"/>
      <c r="C527" s="41"/>
    </row>
  </sheetData>
  <hyperlinks>
    <hyperlink ref="B10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8"/>
  <sheetViews>
    <sheetView workbookViewId="0"/>
  </sheetViews>
  <sheetFormatPr defaultRowHeight="12" x14ac:dyDescent="0.2"/>
  <cols>
    <col min="1" max="1" width="20.28515625" style="21" customWidth="1"/>
    <col min="2" max="3" width="15.28515625" style="7" customWidth="1"/>
    <col min="4" max="4" width="7.7109375" style="3" customWidth="1"/>
    <col min="5" max="5" width="4.28515625" style="21" customWidth="1"/>
    <col min="6" max="6" width="11.7109375" style="21" customWidth="1"/>
    <col min="7" max="7" width="11" style="21" customWidth="1"/>
    <col min="8" max="8" width="10.42578125" style="21" customWidth="1"/>
    <col min="9" max="9" width="4.140625" style="3" customWidth="1"/>
    <col min="10" max="10" width="6.5703125" style="3" customWidth="1"/>
    <col min="11" max="11" width="4.140625" style="21" customWidth="1"/>
    <col min="12" max="12" width="9.140625" style="3"/>
    <col min="13" max="13" width="10.140625" style="3" customWidth="1"/>
    <col min="14" max="14" width="21.140625" style="21" customWidth="1"/>
    <col min="15" max="16384" width="9.140625" style="21"/>
  </cols>
  <sheetData>
    <row r="1" spans="1:4" x14ac:dyDescent="0.2">
      <c r="A1" s="28" t="s">
        <v>20</v>
      </c>
      <c r="B1" s="33" t="str">
        <f>+'Rainfall Data'!B1</f>
        <v>AD01</v>
      </c>
    </row>
    <row r="2" spans="1:4" x14ac:dyDescent="0.2">
      <c r="A2" s="28" t="s">
        <v>21</v>
      </c>
      <c r="B2" s="33" t="str">
        <f>+'Rainfall Data'!B2</f>
        <v>ADDAX - Automatic Weather Station 1</v>
      </c>
    </row>
    <row r="3" spans="1:4" x14ac:dyDescent="0.2">
      <c r="A3" s="28" t="s">
        <v>38</v>
      </c>
      <c r="B3" s="28">
        <f>+'Rainfall Data'!B3</f>
        <v>8.6854999999999993</v>
      </c>
      <c r="C3" s="28"/>
    </row>
    <row r="4" spans="1:4" x14ac:dyDescent="0.2">
      <c r="A4" s="28" t="s">
        <v>39</v>
      </c>
      <c r="B4" s="28">
        <f>+'Rainfall Data'!B4</f>
        <v>-12.168041000000001</v>
      </c>
      <c r="C4" s="28"/>
    </row>
    <row r="5" spans="1:4" x14ac:dyDescent="0.2">
      <c r="A5" s="28" t="s">
        <v>40</v>
      </c>
      <c r="B5" s="28">
        <f>+'Rainfall Data'!B5</f>
        <v>60</v>
      </c>
      <c r="C5" s="28" t="str">
        <f>+'Rainfall Data'!C5</f>
        <v>m above sea level (approximate)</v>
      </c>
    </row>
    <row r="6" spans="1:4" x14ac:dyDescent="0.2">
      <c r="A6" s="28" t="s">
        <v>22</v>
      </c>
      <c r="B6" s="29" t="str">
        <f>+'Rainfall Data'!B6</f>
        <v>Rainfall Data</v>
      </c>
    </row>
    <row r="7" spans="1:4" x14ac:dyDescent="0.2">
      <c r="A7" s="28" t="s">
        <v>24</v>
      </c>
      <c r="B7" s="28" t="str">
        <f>+'Rainfall Data'!B7</f>
        <v>Addax Biosciences Envrionmental Management Team, Sierra  Leone</v>
      </c>
    </row>
    <row r="8" spans="1:4" x14ac:dyDescent="0.2">
      <c r="A8" s="28" t="s">
        <v>25</v>
      </c>
      <c r="B8" s="28" t="str">
        <f>+'Rainfall Data'!B8</f>
        <v>Addax Biosciences</v>
      </c>
    </row>
    <row r="9" spans="1:4" x14ac:dyDescent="0.2">
      <c r="A9" s="28" t="s">
        <v>26</v>
      </c>
      <c r="B9" s="28" t="str">
        <f>+'Rainfall Data'!B9</f>
        <v>Water Security Project, 2012 to 2015</v>
      </c>
    </row>
    <row r="10" spans="1:4" x14ac:dyDescent="0.2">
      <c r="A10" s="28" t="s">
        <v>28</v>
      </c>
      <c r="B10" s="30" t="str">
        <f>+'Rainfall Data'!B10</f>
        <v>www.salonewatersecurity.com</v>
      </c>
    </row>
    <row r="11" spans="1:4" x14ac:dyDescent="0.2">
      <c r="A11" s="28" t="s">
        <v>30</v>
      </c>
      <c r="B11" s="31">
        <f>+MIN(A:A)</f>
        <v>41312</v>
      </c>
    </row>
    <row r="12" spans="1:4" x14ac:dyDescent="0.2">
      <c r="A12" s="28" t="s">
        <v>31</v>
      </c>
      <c r="B12" s="31">
        <f>+MAX(A:A)</f>
        <v>41790</v>
      </c>
    </row>
    <row r="13" spans="1:4" x14ac:dyDescent="0.2">
      <c r="A13" s="28" t="s">
        <v>32</v>
      </c>
      <c r="B13" s="28">
        <f>+COUNT(A:A)</f>
        <v>479</v>
      </c>
    </row>
    <row r="14" spans="1:4" x14ac:dyDescent="0.2">
      <c r="A14" s="28" t="s">
        <v>33</v>
      </c>
      <c r="B14" s="32" t="str">
        <f>+'Rainfall Data'!B14</f>
        <v>nd = no data</v>
      </c>
    </row>
    <row r="15" spans="1:4" x14ac:dyDescent="0.2">
      <c r="A15" s="27" t="s">
        <v>35</v>
      </c>
      <c r="B15" s="14" t="str">
        <f>+'Rainfall Data'!B15</f>
        <v>This data looks erroneous - totals are very much lower than elsewhere in the area.</v>
      </c>
    </row>
    <row r="16" spans="1:4" x14ac:dyDescent="0.2">
      <c r="A16" s="8"/>
      <c r="B16" s="8"/>
      <c r="C16" s="8"/>
      <c r="D16" s="12"/>
    </row>
    <row r="17" spans="1:14" ht="15" customHeight="1" x14ac:dyDescent="0.2">
      <c r="A17" s="9" t="s">
        <v>4</v>
      </c>
      <c r="B17" s="8"/>
      <c r="C17" s="21"/>
      <c r="D17" s="21"/>
      <c r="F17" s="9" t="s">
        <v>3</v>
      </c>
      <c r="G17" s="14"/>
      <c r="H17" s="14"/>
      <c r="I17" s="5"/>
      <c r="L17" s="9" t="s">
        <v>5</v>
      </c>
    </row>
    <row r="18" spans="1:14" ht="53.25" x14ac:dyDescent="0.2">
      <c r="A18" s="26" t="s">
        <v>15</v>
      </c>
      <c r="B18" s="15" t="s">
        <v>9</v>
      </c>
      <c r="C18" s="22" t="s">
        <v>6</v>
      </c>
      <c r="D18" s="13" t="s">
        <v>19</v>
      </c>
      <c r="E18" s="15"/>
      <c r="F18" s="10" t="s">
        <v>0</v>
      </c>
      <c r="G18" s="18" t="s">
        <v>10</v>
      </c>
      <c r="H18" s="22" t="s">
        <v>7</v>
      </c>
      <c r="I18" s="13" t="s">
        <v>1</v>
      </c>
      <c r="J18" s="13" t="s">
        <v>19</v>
      </c>
      <c r="K18" s="13"/>
      <c r="L18" s="15" t="s">
        <v>1</v>
      </c>
      <c r="M18" s="24" t="s">
        <v>11</v>
      </c>
      <c r="N18" s="10" t="s">
        <v>8</v>
      </c>
    </row>
    <row r="19" spans="1:14" x14ac:dyDescent="0.2">
      <c r="B19" s="3" t="s">
        <v>2</v>
      </c>
      <c r="C19" s="3" t="s">
        <v>2</v>
      </c>
      <c r="E19" s="3"/>
      <c r="G19" s="18" t="s">
        <v>2</v>
      </c>
      <c r="H19" s="22" t="s">
        <v>2</v>
      </c>
      <c r="I19" s="26"/>
      <c r="K19" s="18"/>
      <c r="M19" s="3" t="s">
        <v>2</v>
      </c>
    </row>
    <row r="20" spans="1:14" x14ac:dyDescent="0.2">
      <c r="A20" s="20">
        <f>+'Rainfall Data'!B19</f>
        <v>41312</v>
      </c>
      <c r="B20" s="11">
        <f>+'Rainfall Data'!C19</f>
        <v>0</v>
      </c>
      <c r="C20" s="23">
        <f>IF(B20="nd",0, IF(B20="T",0,B20))</f>
        <v>0</v>
      </c>
      <c r="D20" s="25">
        <f t="shared" ref="D20:D51" si="0">+YEAR(A20)*100+MONTH(A20)</f>
        <v>201302</v>
      </c>
      <c r="F20" s="17">
        <v>41305</v>
      </c>
      <c r="G20" s="19"/>
      <c r="H20" s="16"/>
      <c r="I20" s="3">
        <f>+YEAR(F20)</f>
        <v>2013</v>
      </c>
      <c r="J20" s="25">
        <f>+YEAR(F20)*100+MONTH(F20)</f>
        <v>201301</v>
      </c>
      <c r="L20" s="3">
        <v>2013</v>
      </c>
      <c r="M20" s="23">
        <f ca="1">SUMIF($I$20:$I$111,L20,$G$20:$G$111)</f>
        <v>937</v>
      </c>
      <c r="N20" s="21" t="s">
        <v>17</v>
      </c>
    </row>
    <row r="21" spans="1:14" x14ac:dyDescent="0.2">
      <c r="A21" s="20">
        <f>+'Rainfall Data'!B20</f>
        <v>41313</v>
      </c>
      <c r="B21" s="11">
        <f>+'Rainfall Data'!C20</f>
        <v>0</v>
      </c>
      <c r="C21" s="23">
        <f t="shared" ref="C21:C83" si="1">IF(B21="nd",0, IF(B21="T",0,B21))+C20</f>
        <v>0</v>
      </c>
      <c r="D21" s="25">
        <f t="shared" si="0"/>
        <v>201302</v>
      </c>
      <c r="F21" s="17">
        <v>41333</v>
      </c>
      <c r="G21" s="23">
        <f t="shared" ref="G21:G36" ca="1" si="2">SUMIF($D$20:$D$1011,$J21,$B$20:$B$347)</f>
        <v>0</v>
      </c>
      <c r="H21" s="23">
        <f t="shared" ref="H21:H36" ca="1" si="3">IF(G21="nd",0, IF(G21="T",0,G21))+H20</f>
        <v>0</v>
      </c>
      <c r="I21" s="3">
        <f t="shared" ref="I21:I31" si="4">+YEAR(F21)</f>
        <v>2013</v>
      </c>
      <c r="J21" s="25">
        <f t="shared" ref="J21:J31" si="5">+YEAR(F21)*100+MONTH(F21)</f>
        <v>201302</v>
      </c>
      <c r="L21" s="3">
        <v>2014</v>
      </c>
      <c r="M21" s="23"/>
    </row>
    <row r="22" spans="1:14" x14ac:dyDescent="0.2">
      <c r="A22" s="20">
        <f>+'Rainfall Data'!B21</f>
        <v>41314</v>
      </c>
      <c r="B22" s="11">
        <f>+'Rainfall Data'!C21</f>
        <v>0</v>
      </c>
      <c r="C22" s="23">
        <f t="shared" si="1"/>
        <v>0</v>
      </c>
      <c r="D22" s="25">
        <f t="shared" si="0"/>
        <v>201302</v>
      </c>
      <c r="F22" s="17">
        <v>41364</v>
      </c>
      <c r="G22" s="23">
        <f t="shared" ca="1" si="2"/>
        <v>43.399999999999991</v>
      </c>
      <c r="H22" s="23">
        <f t="shared" ca="1" si="3"/>
        <v>43.399999999999991</v>
      </c>
      <c r="I22" s="3">
        <f t="shared" si="4"/>
        <v>2013</v>
      </c>
      <c r="J22" s="25">
        <f t="shared" si="5"/>
        <v>201303</v>
      </c>
    </row>
    <row r="23" spans="1:14" x14ac:dyDescent="0.2">
      <c r="A23" s="20">
        <f>+'Rainfall Data'!B22</f>
        <v>41315</v>
      </c>
      <c r="B23" s="11">
        <f>+'Rainfall Data'!C22</f>
        <v>0</v>
      </c>
      <c r="C23" s="23">
        <f t="shared" si="1"/>
        <v>0</v>
      </c>
      <c r="D23" s="25">
        <f t="shared" si="0"/>
        <v>201302</v>
      </c>
      <c r="F23" s="17">
        <v>41394</v>
      </c>
      <c r="G23" s="23">
        <f t="shared" ca="1" si="2"/>
        <v>9.6999999999999975</v>
      </c>
      <c r="H23" s="23">
        <f t="shared" ca="1" si="3"/>
        <v>53.099999999999987</v>
      </c>
      <c r="I23" s="3">
        <f t="shared" si="4"/>
        <v>2013</v>
      </c>
      <c r="J23" s="25">
        <f t="shared" si="5"/>
        <v>201304</v>
      </c>
    </row>
    <row r="24" spans="1:14" x14ac:dyDescent="0.2">
      <c r="A24" s="20">
        <f>+'Rainfall Data'!B23</f>
        <v>41316</v>
      </c>
      <c r="B24" s="11">
        <f>+'Rainfall Data'!C23</f>
        <v>0</v>
      </c>
      <c r="C24" s="23">
        <f t="shared" si="1"/>
        <v>0</v>
      </c>
      <c r="D24" s="25">
        <f t="shared" si="0"/>
        <v>201302</v>
      </c>
      <c r="F24" s="17">
        <v>41425</v>
      </c>
      <c r="G24" s="23">
        <f t="shared" ca="1" si="2"/>
        <v>213.6</v>
      </c>
      <c r="H24" s="23">
        <f t="shared" ref="H24" ca="1" si="6">IF(G24="nd",0, IF(G24="T",0,G24))+H23</f>
        <v>266.7</v>
      </c>
      <c r="I24" s="3">
        <f t="shared" si="4"/>
        <v>2013</v>
      </c>
      <c r="J24" s="25">
        <f t="shared" si="5"/>
        <v>201305</v>
      </c>
    </row>
    <row r="25" spans="1:14" x14ac:dyDescent="0.2">
      <c r="A25" s="20">
        <f>+'Rainfall Data'!B24</f>
        <v>41317</v>
      </c>
      <c r="B25" s="11">
        <f>+'Rainfall Data'!C24</f>
        <v>0</v>
      </c>
      <c r="C25" s="23">
        <f t="shared" si="1"/>
        <v>0</v>
      </c>
      <c r="D25" s="25">
        <f t="shared" si="0"/>
        <v>201302</v>
      </c>
      <c r="F25" s="6">
        <v>41455</v>
      </c>
      <c r="G25" s="23">
        <f t="shared" ca="1" si="2"/>
        <v>364</v>
      </c>
      <c r="H25" s="23">
        <f t="shared" ca="1" si="3"/>
        <v>630.70000000000005</v>
      </c>
      <c r="I25" s="3">
        <f t="shared" si="4"/>
        <v>2013</v>
      </c>
      <c r="J25" s="25">
        <f t="shared" si="5"/>
        <v>201306</v>
      </c>
    </row>
    <row r="26" spans="1:14" x14ac:dyDescent="0.2">
      <c r="A26" s="20">
        <f>+'Rainfall Data'!B25</f>
        <v>41318</v>
      </c>
      <c r="B26" s="11">
        <f>+'Rainfall Data'!C25</f>
        <v>0</v>
      </c>
      <c r="C26" s="23">
        <f t="shared" si="1"/>
        <v>0</v>
      </c>
      <c r="D26" s="25">
        <f t="shared" si="0"/>
        <v>201302</v>
      </c>
      <c r="F26" s="17">
        <v>41486</v>
      </c>
      <c r="G26" s="23">
        <f t="shared" ca="1" si="2"/>
        <v>203.89999999999998</v>
      </c>
      <c r="H26" s="23">
        <f t="shared" ca="1" si="3"/>
        <v>834.6</v>
      </c>
      <c r="I26" s="3">
        <f t="shared" si="4"/>
        <v>2013</v>
      </c>
      <c r="J26" s="25">
        <f t="shared" si="5"/>
        <v>201307</v>
      </c>
    </row>
    <row r="27" spans="1:14" x14ac:dyDescent="0.2">
      <c r="A27" s="20">
        <f>+'Rainfall Data'!B26</f>
        <v>41319</v>
      </c>
      <c r="B27" s="11">
        <f>+'Rainfall Data'!C26</f>
        <v>0</v>
      </c>
      <c r="C27" s="23">
        <f t="shared" si="1"/>
        <v>0</v>
      </c>
      <c r="D27" s="25">
        <f t="shared" si="0"/>
        <v>201302</v>
      </c>
      <c r="F27" s="17">
        <v>41517</v>
      </c>
      <c r="G27" s="23">
        <f t="shared" ca="1" si="2"/>
        <v>12.8</v>
      </c>
      <c r="H27" s="23">
        <f t="shared" ca="1" si="3"/>
        <v>847.4</v>
      </c>
      <c r="I27" s="3">
        <f t="shared" si="4"/>
        <v>2013</v>
      </c>
      <c r="J27" s="25">
        <f t="shared" si="5"/>
        <v>201308</v>
      </c>
    </row>
    <row r="28" spans="1:14" x14ac:dyDescent="0.2">
      <c r="A28" s="20">
        <f>+'Rainfall Data'!B27</f>
        <v>41320</v>
      </c>
      <c r="B28" s="11" t="str">
        <f>+'Rainfall Data'!C27</f>
        <v>nd</v>
      </c>
      <c r="C28" s="23">
        <f t="shared" si="1"/>
        <v>0</v>
      </c>
      <c r="D28" s="25">
        <f t="shared" si="0"/>
        <v>201302</v>
      </c>
      <c r="F28" s="17">
        <v>41547</v>
      </c>
      <c r="G28" s="23">
        <f t="shared" ca="1" si="2"/>
        <v>61.900000000000006</v>
      </c>
      <c r="H28" s="23">
        <f t="shared" ca="1" si="3"/>
        <v>909.3</v>
      </c>
      <c r="I28" s="3">
        <f t="shared" si="4"/>
        <v>2013</v>
      </c>
      <c r="J28" s="25">
        <f t="shared" si="5"/>
        <v>201309</v>
      </c>
    </row>
    <row r="29" spans="1:14" x14ac:dyDescent="0.2">
      <c r="A29" s="20">
        <f>+'Rainfall Data'!B28</f>
        <v>41321</v>
      </c>
      <c r="B29" s="11">
        <f>+'Rainfall Data'!C28</f>
        <v>0</v>
      </c>
      <c r="C29" s="23">
        <f t="shared" si="1"/>
        <v>0</v>
      </c>
      <c r="D29" s="25">
        <f t="shared" si="0"/>
        <v>201302</v>
      </c>
      <c r="F29" s="17">
        <v>41578</v>
      </c>
      <c r="G29" s="23">
        <f t="shared" ca="1" si="2"/>
        <v>20.200000000000003</v>
      </c>
      <c r="H29" s="23">
        <f t="shared" ca="1" si="3"/>
        <v>929.5</v>
      </c>
      <c r="I29" s="3">
        <f t="shared" si="4"/>
        <v>2013</v>
      </c>
      <c r="J29" s="25">
        <f t="shared" si="5"/>
        <v>201310</v>
      </c>
    </row>
    <row r="30" spans="1:14" x14ac:dyDescent="0.2">
      <c r="A30" s="20">
        <f>+'Rainfall Data'!B29</f>
        <v>41322</v>
      </c>
      <c r="B30" s="11">
        <f>+'Rainfall Data'!C29</f>
        <v>0</v>
      </c>
      <c r="C30" s="23">
        <f t="shared" si="1"/>
        <v>0</v>
      </c>
      <c r="D30" s="25">
        <f t="shared" si="0"/>
        <v>201302</v>
      </c>
      <c r="F30" s="17">
        <v>41608</v>
      </c>
      <c r="G30" s="23">
        <f t="shared" ca="1" si="2"/>
        <v>7.4999999999999991</v>
      </c>
      <c r="H30" s="23">
        <f t="shared" ca="1" si="3"/>
        <v>937</v>
      </c>
      <c r="I30" s="3">
        <f t="shared" si="4"/>
        <v>2013</v>
      </c>
      <c r="J30" s="25">
        <f t="shared" si="5"/>
        <v>201311</v>
      </c>
    </row>
    <row r="31" spans="1:14" x14ac:dyDescent="0.2">
      <c r="A31" s="20">
        <f>+'Rainfall Data'!B30</f>
        <v>41323</v>
      </c>
      <c r="B31" s="11">
        <f>+'Rainfall Data'!C30</f>
        <v>0</v>
      </c>
      <c r="C31" s="23">
        <f t="shared" si="1"/>
        <v>0</v>
      </c>
      <c r="D31" s="25">
        <f t="shared" si="0"/>
        <v>201302</v>
      </c>
      <c r="F31" s="17">
        <v>41639</v>
      </c>
      <c r="G31" s="23">
        <f t="shared" ca="1" si="2"/>
        <v>0</v>
      </c>
      <c r="H31" s="23">
        <f t="shared" ca="1" si="3"/>
        <v>937</v>
      </c>
      <c r="I31" s="3">
        <f t="shared" si="4"/>
        <v>2013</v>
      </c>
      <c r="J31" s="25">
        <f t="shared" si="5"/>
        <v>201312</v>
      </c>
    </row>
    <row r="32" spans="1:14" x14ac:dyDescent="0.2">
      <c r="A32" s="20">
        <f>+'Rainfall Data'!B31</f>
        <v>41324</v>
      </c>
      <c r="B32" s="11">
        <f>+'Rainfall Data'!C31</f>
        <v>0</v>
      </c>
      <c r="C32" s="23">
        <f t="shared" si="1"/>
        <v>0</v>
      </c>
      <c r="D32" s="25">
        <f t="shared" si="0"/>
        <v>201302</v>
      </c>
      <c r="F32" s="17">
        <v>41670</v>
      </c>
      <c r="G32" s="23">
        <f t="shared" ca="1" si="2"/>
        <v>0</v>
      </c>
      <c r="H32" s="23">
        <f ca="1">IF(G32="nd",0, IF(G32="T",0,G32))</f>
        <v>0</v>
      </c>
      <c r="I32" s="3">
        <f t="shared" ref="I32:I36" si="7">+YEAR(F32)</f>
        <v>2014</v>
      </c>
      <c r="J32" s="25">
        <f t="shared" ref="J32:J36" si="8">+YEAR(F32)*100+MONTH(F32)</f>
        <v>201401</v>
      </c>
    </row>
    <row r="33" spans="1:10" x14ac:dyDescent="0.2">
      <c r="A33" s="20">
        <f>+'Rainfall Data'!B32</f>
        <v>41325</v>
      </c>
      <c r="B33" s="11">
        <f>+'Rainfall Data'!C32</f>
        <v>0</v>
      </c>
      <c r="C33" s="23">
        <f t="shared" si="1"/>
        <v>0</v>
      </c>
      <c r="D33" s="25">
        <f t="shared" si="0"/>
        <v>201302</v>
      </c>
      <c r="F33" s="17">
        <v>41698</v>
      </c>
      <c r="G33" s="23">
        <f t="shared" ca="1" si="2"/>
        <v>0</v>
      </c>
      <c r="H33" s="23">
        <f t="shared" ca="1" si="3"/>
        <v>0</v>
      </c>
      <c r="I33" s="3">
        <f t="shared" si="7"/>
        <v>2014</v>
      </c>
      <c r="J33" s="25">
        <f t="shared" si="8"/>
        <v>201402</v>
      </c>
    </row>
    <row r="34" spans="1:10" x14ac:dyDescent="0.2">
      <c r="A34" s="20">
        <f>+'Rainfall Data'!B33</f>
        <v>41326</v>
      </c>
      <c r="B34" s="11">
        <f>+'Rainfall Data'!C33</f>
        <v>0</v>
      </c>
      <c r="C34" s="23">
        <f t="shared" si="1"/>
        <v>0</v>
      </c>
      <c r="D34" s="25">
        <f t="shared" si="0"/>
        <v>201302</v>
      </c>
      <c r="F34" s="17">
        <v>41729</v>
      </c>
      <c r="G34" s="23">
        <f t="shared" ca="1" si="2"/>
        <v>0.2</v>
      </c>
      <c r="H34" s="23">
        <f t="shared" ca="1" si="3"/>
        <v>0.2</v>
      </c>
      <c r="I34" s="3">
        <f t="shared" si="7"/>
        <v>2014</v>
      </c>
      <c r="J34" s="25">
        <f t="shared" si="8"/>
        <v>201403</v>
      </c>
    </row>
    <row r="35" spans="1:10" x14ac:dyDescent="0.2">
      <c r="A35" s="20">
        <f>+'Rainfall Data'!B34</f>
        <v>41327</v>
      </c>
      <c r="B35" s="11">
        <f>+'Rainfall Data'!C34</f>
        <v>0</v>
      </c>
      <c r="C35" s="23">
        <f t="shared" si="1"/>
        <v>0</v>
      </c>
      <c r="D35" s="25">
        <f t="shared" si="0"/>
        <v>201302</v>
      </c>
      <c r="F35" s="17">
        <v>41759</v>
      </c>
      <c r="G35" s="23">
        <f t="shared" ca="1" si="2"/>
        <v>6.9</v>
      </c>
      <c r="H35" s="23">
        <f t="shared" ca="1" si="3"/>
        <v>7.1000000000000005</v>
      </c>
      <c r="I35" s="3">
        <f t="shared" si="7"/>
        <v>2014</v>
      </c>
      <c r="J35" s="25">
        <f t="shared" si="8"/>
        <v>201404</v>
      </c>
    </row>
    <row r="36" spans="1:10" x14ac:dyDescent="0.2">
      <c r="A36" s="20">
        <f>+'Rainfall Data'!B35</f>
        <v>41328</v>
      </c>
      <c r="B36" s="11">
        <f>+'Rainfall Data'!C35</f>
        <v>0</v>
      </c>
      <c r="C36" s="23">
        <f t="shared" si="1"/>
        <v>0</v>
      </c>
      <c r="D36" s="25">
        <f t="shared" si="0"/>
        <v>201302</v>
      </c>
      <c r="F36" s="17">
        <v>41790</v>
      </c>
      <c r="G36" s="23">
        <f t="shared" ca="1" si="2"/>
        <v>7.0000000000000009</v>
      </c>
      <c r="H36" s="23">
        <f t="shared" ca="1" si="3"/>
        <v>14.100000000000001</v>
      </c>
      <c r="I36" s="3">
        <f t="shared" si="7"/>
        <v>2014</v>
      </c>
      <c r="J36" s="25">
        <f t="shared" si="8"/>
        <v>201405</v>
      </c>
    </row>
    <row r="37" spans="1:10" x14ac:dyDescent="0.2">
      <c r="A37" s="20">
        <f>+'Rainfall Data'!B36</f>
        <v>41329</v>
      </c>
      <c r="B37" s="11">
        <f>+'Rainfall Data'!C36</f>
        <v>0</v>
      </c>
      <c r="C37" s="23">
        <f t="shared" si="1"/>
        <v>0</v>
      </c>
      <c r="D37" s="25">
        <f t="shared" si="0"/>
        <v>201302</v>
      </c>
      <c r="F37" s="17"/>
      <c r="G37" s="23"/>
      <c r="H37" s="23"/>
      <c r="J37" s="25"/>
    </row>
    <row r="38" spans="1:10" x14ac:dyDescent="0.2">
      <c r="A38" s="20">
        <f>+'Rainfall Data'!B37</f>
        <v>41330</v>
      </c>
      <c r="B38" s="11">
        <f>+'Rainfall Data'!C37</f>
        <v>0</v>
      </c>
      <c r="C38" s="23">
        <f t="shared" si="1"/>
        <v>0</v>
      </c>
      <c r="D38" s="25">
        <f t="shared" si="0"/>
        <v>201302</v>
      </c>
    </row>
    <row r="39" spans="1:10" x14ac:dyDescent="0.2">
      <c r="A39" s="20">
        <f>+'Rainfall Data'!B38</f>
        <v>41331</v>
      </c>
      <c r="B39" s="11">
        <f>+'Rainfall Data'!C38</f>
        <v>0</v>
      </c>
      <c r="C39" s="23">
        <f t="shared" si="1"/>
        <v>0</v>
      </c>
      <c r="D39" s="25">
        <f t="shared" si="0"/>
        <v>201302</v>
      </c>
    </row>
    <row r="40" spans="1:10" x14ac:dyDescent="0.2">
      <c r="A40" s="20">
        <f>+'Rainfall Data'!B39</f>
        <v>41332</v>
      </c>
      <c r="B40" s="11">
        <f>+'Rainfall Data'!C39</f>
        <v>0</v>
      </c>
      <c r="C40" s="23">
        <f t="shared" si="1"/>
        <v>0</v>
      </c>
      <c r="D40" s="25">
        <f t="shared" si="0"/>
        <v>201302</v>
      </c>
    </row>
    <row r="41" spans="1:10" x14ac:dyDescent="0.2">
      <c r="A41" s="20">
        <f>+'Rainfall Data'!B40</f>
        <v>41333</v>
      </c>
      <c r="B41" s="11">
        <f>+'Rainfall Data'!C40</f>
        <v>0</v>
      </c>
      <c r="C41" s="23">
        <f t="shared" si="1"/>
        <v>0</v>
      </c>
      <c r="D41" s="25">
        <f t="shared" si="0"/>
        <v>201302</v>
      </c>
    </row>
    <row r="42" spans="1:10" x14ac:dyDescent="0.2">
      <c r="A42" s="20">
        <f>+'Rainfall Data'!B41</f>
        <v>41334</v>
      </c>
      <c r="B42" s="11">
        <f>+'Rainfall Data'!C41</f>
        <v>0</v>
      </c>
      <c r="C42" s="23">
        <f t="shared" si="1"/>
        <v>0</v>
      </c>
      <c r="D42" s="25">
        <f t="shared" si="0"/>
        <v>201303</v>
      </c>
    </row>
    <row r="43" spans="1:10" x14ac:dyDescent="0.2">
      <c r="A43" s="20">
        <f>+'Rainfall Data'!B42</f>
        <v>41335</v>
      </c>
      <c r="B43" s="11">
        <f>+'Rainfall Data'!C42</f>
        <v>0</v>
      </c>
      <c r="C43" s="23">
        <f t="shared" si="1"/>
        <v>0</v>
      </c>
      <c r="D43" s="25">
        <f t="shared" si="0"/>
        <v>201303</v>
      </c>
    </row>
    <row r="44" spans="1:10" x14ac:dyDescent="0.2">
      <c r="A44" s="20">
        <f>+'Rainfall Data'!B43</f>
        <v>41336</v>
      </c>
      <c r="B44" s="11">
        <f>+'Rainfall Data'!C43</f>
        <v>0</v>
      </c>
      <c r="C44" s="23">
        <f t="shared" si="1"/>
        <v>0</v>
      </c>
      <c r="D44" s="25">
        <f t="shared" si="0"/>
        <v>201303</v>
      </c>
    </row>
    <row r="45" spans="1:10" x14ac:dyDescent="0.2">
      <c r="A45" s="20">
        <f>+'Rainfall Data'!B44</f>
        <v>41337</v>
      </c>
      <c r="B45" s="11">
        <f>+'Rainfall Data'!C44</f>
        <v>0</v>
      </c>
      <c r="C45" s="23">
        <f t="shared" si="1"/>
        <v>0</v>
      </c>
      <c r="D45" s="25">
        <f t="shared" si="0"/>
        <v>201303</v>
      </c>
    </row>
    <row r="46" spans="1:10" x14ac:dyDescent="0.2">
      <c r="A46" s="20">
        <f>+'Rainfall Data'!B45</f>
        <v>41338</v>
      </c>
      <c r="B46" s="11">
        <f>+'Rainfall Data'!C45</f>
        <v>0</v>
      </c>
      <c r="C46" s="23">
        <f t="shared" si="1"/>
        <v>0</v>
      </c>
      <c r="D46" s="25">
        <f t="shared" si="0"/>
        <v>201303</v>
      </c>
    </row>
    <row r="47" spans="1:10" x14ac:dyDescent="0.2">
      <c r="A47" s="20">
        <f>+'Rainfall Data'!B46</f>
        <v>41339</v>
      </c>
      <c r="B47" s="11">
        <f>+'Rainfall Data'!C46</f>
        <v>0</v>
      </c>
      <c r="C47" s="23">
        <f t="shared" si="1"/>
        <v>0</v>
      </c>
      <c r="D47" s="25">
        <f t="shared" si="0"/>
        <v>201303</v>
      </c>
    </row>
    <row r="48" spans="1:10" x14ac:dyDescent="0.2">
      <c r="A48" s="20">
        <f>+'Rainfall Data'!B47</f>
        <v>41340</v>
      </c>
      <c r="B48" s="11">
        <f>+'Rainfall Data'!C47</f>
        <v>0</v>
      </c>
      <c r="C48" s="23">
        <f t="shared" si="1"/>
        <v>0</v>
      </c>
      <c r="D48" s="25">
        <f t="shared" si="0"/>
        <v>201303</v>
      </c>
    </row>
    <row r="49" spans="1:4" x14ac:dyDescent="0.2">
      <c r="A49" s="20">
        <f>+'Rainfall Data'!B48</f>
        <v>41341</v>
      </c>
      <c r="B49" s="11">
        <f>+'Rainfall Data'!C48</f>
        <v>0</v>
      </c>
      <c r="C49" s="23">
        <f t="shared" si="1"/>
        <v>0</v>
      </c>
      <c r="D49" s="25">
        <f t="shared" si="0"/>
        <v>201303</v>
      </c>
    </row>
    <row r="50" spans="1:4" x14ac:dyDescent="0.2">
      <c r="A50" s="20">
        <f>+'Rainfall Data'!B49</f>
        <v>41342</v>
      </c>
      <c r="B50" s="11">
        <f>+'Rainfall Data'!C49</f>
        <v>0</v>
      </c>
      <c r="C50" s="23">
        <f t="shared" si="1"/>
        <v>0</v>
      </c>
      <c r="D50" s="25">
        <f t="shared" si="0"/>
        <v>201303</v>
      </c>
    </row>
    <row r="51" spans="1:4" x14ac:dyDescent="0.2">
      <c r="A51" s="20">
        <f>+'Rainfall Data'!B50</f>
        <v>41343</v>
      </c>
      <c r="B51" s="11">
        <f>+'Rainfall Data'!C50</f>
        <v>0</v>
      </c>
      <c r="C51" s="23">
        <f t="shared" si="1"/>
        <v>0</v>
      </c>
      <c r="D51" s="25">
        <f t="shared" si="0"/>
        <v>201303</v>
      </c>
    </row>
    <row r="52" spans="1:4" x14ac:dyDescent="0.2">
      <c r="A52" s="20">
        <f>+'Rainfall Data'!B51</f>
        <v>41344</v>
      </c>
      <c r="B52" s="11">
        <f>+'Rainfall Data'!C51</f>
        <v>0</v>
      </c>
      <c r="C52" s="23">
        <f t="shared" si="1"/>
        <v>0</v>
      </c>
      <c r="D52" s="25">
        <f t="shared" ref="D52:D84" si="9">+YEAR(A52)*100+MONTH(A52)</f>
        <v>201303</v>
      </c>
    </row>
    <row r="53" spans="1:4" x14ac:dyDescent="0.2">
      <c r="A53" s="20">
        <f>+'Rainfall Data'!B52</f>
        <v>41345</v>
      </c>
      <c r="B53" s="11">
        <f>+'Rainfall Data'!C52</f>
        <v>1.7</v>
      </c>
      <c r="C53" s="23">
        <f t="shared" si="1"/>
        <v>1.7</v>
      </c>
      <c r="D53" s="25">
        <f t="shared" si="9"/>
        <v>201303</v>
      </c>
    </row>
    <row r="54" spans="1:4" x14ac:dyDescent="0.2">
      <c r="A54" s="20">
        <f>+'Rainfall Data'!B53</f>
        <v>41346</v>
      </c>
      <c r="B54" s="11">
        <f>+'Rainfall Data'!C53</f>
        <v>14.2</v>
      </c>
      <c r="C54" s="23">
        <f t="shared" si="1"/>
        <v>15.899999999999999</v>
      </c>
      <c r="D54" s="25">
        <f t="shared" si="9"/>
        <v>201303</v>
      </c>
    </row>
    <row r="55" spans="1:4" x14ac:dyDescent="0.2">
      <c r="A55" s="20">
        <f>+'Rainfall Data'!B54</f>
        <v>41347</v>
      </c>
      <c r="B55" s="11">
        <f>+'Rainfall Data'!C54</f>
        <v>15</v>
      </c>
      <c r="C55" s="23">
        <f t="shared" si="1"/>
        <v>30.9</v>
      </c>
      <c r="D55" s="25">
        <f t="shared" si="9"/>
        <v>201303</v>
      </c>
    </row>
    <row r="56" spans="1:4" x14ac:dyDescent="0.2">
      <c r="A56" s="20">
        <f>+'Rainfall Data'!B55</f>
        <v>41348</v>
      </c>
      <c r="B56" s="11">
        <f>+'Rainfall Data'!C55</f>
        <v>8.6999999999999993</v>
      </c>
      <c r="C56" s="23">
        <f t="shared" si="1"/>
        <v>39.599999999999994</v>
      </c>
      <c r="D56" s="25">
        <f t="shared" si="9"/>
        <v>201303</v>
      </c>
    </row>
    <row r="57" spans="1:4" x14ac:dyDescent="0.2">
      <c r="A57" s="20">
        <f>+'Rainfall Data'!B56</f>
        <v>41349</v>
      </c>
      <c r="B57" s="11">
        <f>+'Rainfall Data'!C56</f>
        <v>1.1000000000000001</v>
      </c>
      <c r="C57" s="23">
        <f t="shared" si="1"/>
        <v>40.699999999999996</v>
      </c>
      <c r="D57" s="25">
        <f t="shared" si="9"/>
        <v>201303</v>
      </c>
    </row>
    <row r="58" spans="1:4" x14ac:dyDescent="0.2">
      <c r="A58" s="20">
        <f>+'Rainfall Data'!B57</f>
        <v>41350</v>
      </c>
      <c r="B58" s="11">
        <f>+'Rainfall Data'!C57</f>
        <v>0.1</v>
      </c>
      <c r="C58" s="23">
        <f t="shared" si="1"/>
        <v>40.799999999999997</v>
      </c>
      <c r="D58" s="25">
        <f t="shared" si="9"/>
        <v>201303</v>
      </c>
    </row>
    <row r="59" spans="1:4" x14ac:dyDescent="0.2">
      <c r="A59" s="20">
        <f>+'Rainfall Data'!B58</f>
        <v>41351</v>
      </c>
      <c r="B59" s="11">
        <f>+'Rainfall Data'!C58</f>
        <v>0.1</v>
      </c>
      <c r="C59" s="23">
        <f t="shared" si="1"/>
        <v>40.9</v>
      </c>
      <c r="D59" s="25">
        <f t="shared" si="9"/>
        <v>201303</v>
      </c>
    </row>
    <row r="60" spans="1:4" x14ac:dyDescent="0.2">
      <c r="A60" s="20">
        <f>+'Rainfall Data'!B59</f>
        <v>41352</v>
      </c>
      <c r="B60" s="11">
        <f>+'Rainfall Data'!C59</f>
        <v>0.3</v>
      </c>
      <c r="C60" s="23">
        <f t="shared" si="1"/>
        <v>41.199999999999996</v>
      </c>
      <c r="D60" s="25">
        <f t="shared" si="9"/>
        <v>201303</v>
      </c>
    </row>
    <row r="61" spans="1:4" x14ac:dyDescent="0.2">
      <c r="A61" s="20">
        <f>+'Rainfall Data'!B60</f>
        <v>41353</v>
      </c>
      <c r="B61" s="11">
        <f>+'Rainfall Data'!C60</f>
        <v>0.3</v>
      </c>
      <c r="C61" s="23">
        <f t="shared" si="1"/>
        <v>41.499999999999993</v>
      </c>
      <c r="D61" s="25">
        <f t="shared" si="9"/>
        <v>201303</v>
      </c>
    </row>
    <row r="62" spans="1:4" x14ac:dyDescent="0.2">
      <c r="A62" s="20">
        <f>+'Rainfall Data'!B61</f>
        <v>41354</v>
      </c>
      <c r="B62" s="11">
        <f>+'Rainfall Data'!C61</f>
        <v>0.2</v>
      </c>
      <c r="C62" s="23">
        <f t="shared" si="1"/>
        <v>41.699999999999996</v>
      </c>
      <c r="D62" s="25">
        <f t="shared" si="9"/>
        <v>201303</v>
      </c>
    </row>
    <row r="63" spans="1:4" x14ac:dyDescent="0.2">
      <c r="A63" s="20">
        <f>+'Rainfall Data'!B62</f>
        <v>41355</v>
      </c>
      <c r="B63" s="11">
        <f>+'Rainfall Data'!C62</f>
        <v>0.1</v>
      </c>
      <c r="C63" s="23">
        <f t="shared" si="1"/>
        <v>41.8</v>
      </c>
      <c r="D63" s="25">
        <f t="shared" si="9"/>
        <v>201303</v>
      </c>
    </row>
    <row r="64" spans="1:4" x14ac:dyDescent="0.2">
      <c r="A64" s="20">
        <f>+'Rainfall Data'!B63</f>
        <v>41356</v>
      </c>
      <c r="B64" s="11">
        <f>+'Rainfall Data'!C63</f>
        <v>0.8</v>
      </c>
      <c r="C64" s="23">
        <f t="shared" si="1"/>
        <v>42.599999999999994</v>
      </c>
      <c r="D64" s="25">
        <f t="shared" si="9"/>
        <v>201303</v>
      </c>
    </row>
    <row r="65" spans="1:4" x14ac:dyDescent="0.2">
      <c r="A65" s="20">
        <f>+'Rainfall Data'!B64</f>
        <v>41357</v>
      </c>
      <c r="B65" s="11">
        <f>+'Rainfall Data'!C64</f>
        <v>0.8</v>
      </c>
      <c r="C65" s="23">
        <f t="shared" si="1"/>
        <v>43.399999999999991</v>
      </c>
      <c r="D65" s="25">
        <f t="shared" si="9"/>
        <v>201303</v>
      </c>
    </row>
    <row r="66" spans="1:4" x14ac:dyDescent="0.2">
      <c r="A66" s="20">
        <f>+'Rainfall Data'!B65</f>
        <v>41358</v>
      </c>
      <c r="B66" s="11">
        <f>+'Rainfall Data'!C65</f>
        <v>0</v>
      </c>
      <c r="C66" s="23">
        <f t="shared" si="1"/>
        <v>43.399999999999991</v>
      </c>
      <c r="D66" s="25">
        <f t="shared" si="9"/>
        <v>201303</v>
      </c>
    </row>
    <row r="67" spans="1:4" x14ac:dyDescent="0.2">
      <c r="A67" s="20">
        <f>+'Rainfall Data'!B66</f>
        <v>41359</v>
      </c>
      <c r="B67" s="11">
        <f>+'Rainfall Data'!C66</f>
        <v>0</v>
      </c>
      <c r="C67" s="23">
        <f t="shared" si="1"/>
        <v>43.399999999999991</v>
      </c>
      <c r="D67" s="25">
        <f t="shared" si="9"/>
        <v>201303</v>
      </c>
    </row>
    <row r="68" spans="1:4" x14ac:dyDescent="0.2">
      <c r="A68" s="20">
        <f>+'Rainfall Data'!B67</f>
        <v>41360</v>
      </c>
      <c r="B68" s="11">
        <f>+'Rainfall Data'!C67</f>
        <v>0</v>
      </c>
      <c r="C68" s="23">
        <f t="shared" si="1"/>
        <v>43.399999999999991</v>
      </c>
      <c r="D68" s="25">
        <f t="shared" si="9"/>
        <v>201303</v>
      </c>
    </row>
    <row r="69" spans="1:4" x14ac:dyDescent="0.2">
      <c r="A69" s="20">
        <f>+'Rainfall Data'!B68</f>
        <v>41361</v>
      </c>
      <c r="B69" s="11">
        <f>+'Rainfall Data'!C68</f>
        <v>0</v>
      </c>
      <c r="C69" s="23">
        <f t="shared" si="1"/>
        <v>43.399999999999991</v>
      </c>
      <c r="D69" s="25">
        <f t="shared" si="9"/>
        <v>201303</v>
      </c>
    </row>
    <row r="70" spans="1:4" x14ac:dyDescent="0.2">
      <c r="A70" s="20">
        <f>+'Rainfall Data'!B69</f>
        <v>41362</v>
      </c>
      <c r="B70" s="11">
        <f>+'Rainfall Data'!C69</f>
        <v>0</v>
      </c>
      <c r="C70" s="23">
        <f t="shared" si="1"/>
        <v>43.399999999999991</v>
      </c>
      <c r="D70" s="25">
        <f t="shared" si="9"/>
        <v>201303</v>
      </c>
    </row>
    <row r="71" spans="1:4" x14ac:dyDescent="0.2">
      <c r="A71" s="20">
        <f>+'Rainfall Data'!B70</f>
        <v>41363</v>
      </c>
      <c r="B71" s="11">
        <f>+'Rainfall Data'!C70</f>
        <v>0</v>
      </c>
      <c r="C71" s="23">
        <f t="shared" si="1"/>
        <v>43.399999999999991</v>
      </c>
      <c r="D71" s="25">
        <f t="shared" si="9"/>
        <v>201303</v>
      </c>
    </row>
    <row r="72" spans="1:4" x14ac:dyDescent="0.2">
      <c r="A72" s="20">
        <f>+'Rainfall Data'!B71</f>
        <v>41364</v>
      </c>
      <c r="B72" s="11">
        <f>+'Rainfall Data'!C71</f>
        <v>0</v>
      </c>
      <c r="C72" s="23">
        <f t="shared" si="1"/>
        <v>43.399999999999991</v>
      </c>
      <c r="D72" s="25">
        <f t="shared" si="9"/>
        <v>201303</v>
      </c>
    </row>
    <row r="73" spans="1:4" x14ac:dyDescent="0.2">
      <c r="A73" s="20">
        <f>+'Rainfall Data'!B72</f>
        <v>41365</v>
      </c>
      <c r="B73" s="11">
        <f>+'Rainfall Data'!C72</f>
        <v>0</v>
      </c>
      <c r="C73" s="23">
        <f t="shared" si="1"/>
        <v>43.399999999999991</v>
      </c>
      <c r="D73" s="25">
        <f t="shared" si="9"/>
        <v>201304</v>
      </c>
    </row>
    <row r="74" spans="1:4" x14ac:dyDescent="0.2">
      <c r="A74" s="20">
        <f>+'Rainfall Data'!B73</f>
        <v>41366</v>
      </c>
      <c r="B74" s="11">
        <f>+'Rainfall Data'!C73</f>
        <v>0</v>
      </c>
      <c r="C74" s="23">
        <f t="shared" si="1"/>
        <v>43.399999999999991</v>
      </c>
      <c r="D74" s="25">
        <f t="shared" si="9"/>
        <v>201304</v>
      </c>
    </row>
    <row r="75" spans="1:4" x14ac:dyDescent="0.2">
      <c r="A75" s="20">
        <f>+'Rainfall Data'!B74</f>
        <v>41367</v>
      </c>
      <c r="B75" s="11">
        <f>+'Rainfall Data'!C74</f>
        <v>0</v>
      </c>
      <c r="C75" s="23">
        <f t="shared" si="1"/>
        <v>43.399999999999991</v>
      </c>
      <c r="D75" s="25">
        <f t="shared" si="9"/>
        <v>201304</v>
      </c>
    </row>
    <row r="76" spans="1:4" x14ac:dyDescent="0.2">
      <c r="A76" s="20">
        <f>+'Rainfall Data'!B75</f>
        <v>41368</v>
      </c>
      <c r="B76" s="11">
        <f>+'Rainfall Data'!C75</f>
        <v>0</v>
      </c>
      <c r="C76" s="23">
        <f t="shared" si="1"/>
        <v>43.399999999999991</v>
      </c>
      <c r="D76" s="25">
        <f t="shared" si="9"/>
        <v>201304</v>
      </c>
    </row>
    <row r="77" spans="1:4" x14ac:dyDescent="0.2">
      <c r="A77" s="20">
        <f>+'Rainfall Data'!B76</f>
        <v>41369</v>
      </c>
      <c r="B77" s="11">
        <f>+'Rainfall Data'!C76</f>
        <v>0</v>
      </c>
      <c r="C77" s="23">
        <f t="shared" si="1"/>
        <v>43.399999999999991</v>
      </c>
      <c r="D77" s="25">
        <f t="shared" si="9"/>
        <v>201304</v>
      </c>
    </row>
    <row r="78" spans="1:4" x14ac:dyDescent="0.2">
      <c r="A78" s="20">
        <f>+'Rainfall Data'!B77</f>
        <v>41370</v>
      </c>
      <c r="B78" s="11">
        <f>+'Rainfall Data'!C77</f>
        <v>0.6</v>
      </c>
      <c r="C78" s="23">
        <f t="shared" si="1"/>
        <v>43.999999999999993</v>
      </c>
      <c r="D78" s="25">
        <f t="shared" si="9"/>
        <v>201304</v>
      </c>
    </row>
    <row r="79" spans="1:4" x14ac:dyDescent="0.2">
      <c r="A79" s="20">
        <f>+'Rainfall Data'!B78</f>
        <v>41371</v>
      </c>
      <c r="B79" s="11">
        <f>+'Rainfall Data'!C78</f>
        <v>4.0999999999999996</v>
      </c>
      <c r="C79" s="23">
        <f t="shared" si="1"/>
        <v>48.099999999999994</v>
      </c>
      <c r="D79" s="25">
        <f t="shared" si="9"/>
        <v>201304</v>
      </c>
    </row>
    <row r="80" spans="1:4" x14ac:dyDescent="0.2">
      <c r="A80" s="20">
        <f>+'Rainfall Data'!B79</f>
        <v>41372</v>
      </c>
      <c r="B80" s="11">
        <f>+'Rainfall Data'!C79</f>
        <v>4.0999999999999996</v>
      </c>
      <c r="C80" s="23">
        <f t="shared" si="1"/>
        <v>52.199999999999996</v>
      </c>
      <c r="D80" s="25">
        <f t="shared" si="9"/>
        <v>201304</v>
      </c>
    </row>
    <row r="81" spans="1:4" x14ac:dyDescent="0.2">
      <c r="A81" s="20">
        <f>+'Rainfall Data'!B80</f>
        <v>41373</v>
      </c>
      <c r="B81" s="11">
        <f>+'Rainfall Data'!C80</f>
        <v>0.3</v>
      </c>
      <c r="C81" s="23">
        <f t="shared" si="1"/>
        <v>52.499999999999993</v>
      </c>
      <c r="D81" s="25">
        <f t="shared" si="9"/>
        <v>201304</v>
      </c>
    </row>
    <row r="82" spans="1:4" x14ac:dyDescent="0.2">
      <c r="A82" s="20">
        <f>+'Rainfall Data'!B81</f>
        <v>41374</v>
      </c>
      <c r="B82" s="11">
        <f>+'Rainfall Data'!C81</f>
        <v>0.1</v>
      </c>
      <c r="C82" s="23">
        <f t="shared" si="1"/>
        <v>52.599999999999994</v>
      </c>
      <c r="D82" s="25">
        <f t="shared" si="9"/>
        <v>201304</v>
      </c>
    </row>
    <row r="83" spans="1:4" x14ac:dyDescent="0.2">
      <c r="A83" s="20">
        <f>+'Rainfall Data'!B82</f>
        <v>41375</v>
      </c>
      <c r="B83" s="11">
        <f>+'Rainfall Data'!C82</f>
        <v>0.2</v>
      </c>
      <c r="C83" s="23">
        <f t="shared" si="1"/>
        <v>52.8</v>
      </c>
      <c r="D83" s="25">
        <f t="shared" si="9"/>
        <v>201304</v>
      </c>
    </row>
    <row r="84" spans="1:4" x14ac:dyDescent="0.2">
      <c r="A84" s="20">
        <f>+'Rainfall Data'!B83</f>
        <v>41376</v>
      </c>
      <c r="B84" s="11">
        <f>+'Rainfall Data'!C83</f>
        <v>0.2</v>
      </c>
      <c r="C84" s="23">
        <f t="shared" ref="C84:C147" si="10">IF(B84="nd",0, IF(B84="T",0,B84))+C83</f>
        <v>53</v>
      </c>
      <c r="D84" s="25">
        <f t="shared" si="9"/>
        <v>201304</v>
      </c>
    </row>
    <row r="85" spans="1:4" x14ac:dyDescent="0.2">
      <c r="A85" s="20">
        <f>+'Rainfall Data'!B84</f>
        <v>41377</v>
      </c>
      <c r="B85" s="11">
        <f>+'Rainfall Data'!C84</f>
        <v>0.1</v>
      </c>
      <c r="C85" s="23">
        <f t="shared" si="10"/>
        <v>53.1</v>
      </c>
      <c r="D85" s="25">
        <f t="shared" ref="D85:D148" si="11">+YEAR(A85)*100+MONTH(A85)</f>
        <v>201304</v>
      </c>
    </row>
    <row r="86" spans="1:4" x14ac:dyDescent="0.2">
      <c r="A86" s="20">
        <f>+'Rainfall Data'!B85</f>
        <v>41378</v>
      </c>
      <c r="B86" s="11">
        <f>+'Rainfall Data'!C85</f>
        <v>0</v>
      </c>
      <c r="C86" s="23">
        <f t="shared" si="10"/>
        <v>53.1</v>
      </c>
      <c r="D86" s="25">
        <f t="shared" si="11"/>
        <v>201304</v>
      </c>
    </row>
    <row r="87" spans="1:4" x14ac:dyDescent="0.2">
      <c r="A87" s="20">
        <f>+'Rainfall Data'!B86</f>
        <v>41379</v>
      </c>
      <c r="B87" s="11">
        <f>+'Rainfall Data'!C86</f>
        <v>0</v>
      </c>
      <c r="C87" s="23">
        <f t="shared" si="10"/>
        <v>53.1</v>
      </c>
      <c r="D87" s="25">
        <f t="shared" si="11"/>
        <v>201304</v>
      </c>
    </row>
    <row r="88" spans="1:4" x14ac:dyDescent="0.2">
      <c r="A88" s="20">
        <f>+'Rainfall Data'!B87</f>
        <v>41380</v>
      </c>
      <c r="B88" s="11">
        <f>+'Rainfall Data'!C87</f>
        <v>0</v>
      </c>
      <c r="C88" s="23">
        <f t="shared" si="10"/>
        <v>53.1</v>
      </c>
      <c r="D88" s="25">
        <f t="shared" si="11"/>
        <v>201304</v>
      </c>
    </row>
    <row r="89" spans="1:4" x14ac:dyDescent="0.2">
      <c r="A89" s="20">
        <f>+'Rainfall Data'!B88</f>
        <v>41381</v>
      </c>
      <c r="B89" s="11">
        <f>+'Rainfall Data'!C88</f>
        <v>0</v>
      </c>
      <c r="C89" s="23">
        <f t="shared" si="10"/>
        <v>53.1</v>
      </c>
      <c r="D89" s="25">
        <f t="shared" si="11"/>
        <v>201304</v>
      </c>
    </row>
    <row r="90" spans="1:4" x14ac:dyDescent="0.2">
      <c r="A90" s="20">
        <f>+'Rainfall Data'!B89</f>
        <v>41382</v>
      </c>
      <c r="B90" s="11">
        <f>+'Rainfall Data'!C89</f>
        <v>0</v>
      </c>
      <c r="C90" s="23">
        <f t="shared" si="10"/>
        <v>53.1</v>
      </c>
      <c r="D90" s="25">
        <f t="shared" si="11"/>
        <v>201304</v>
      </c>
    </row>
    <row r="91" spans="1:4" x14ac:dyDescent="0.2">
      <c r="A91" s="20">
        <f>+'Rainfall Data'!B90</f>
        <v>41383</v>
      </c>
      <c r="B91" s="11">
        <f>+'Rainfall Data'!C90</f>
        <v>0</v>
      </c>
      <c r="C91" s="23">
        <f t="shared" si="10"/>
        <v>53.1</v>
      </c>
      <c r="D91" s="25">
        <f t="shared" si="11"/>
        <v>201304</v>
      </c>
    </row>
    <row r="92" spans="1:4" x14ac:dyDescent="0.2">
      <c r="A92" s="20">
        <f>+'Rainfall Data'!B91</f>
        <v>41384</v>
      </c>
      <c r="B92" s="11">
        <f>+'Rainfall Data'!C91</f>
        <v>0</v>
      </c>
      <c r="C92" s="23">
        <f t="shared" si="10"/>
        <v>53.1</v>
      </c>
      <c r="D92" s="25">
        <f t="shared" si="11"/>
        <v>201304</v>
      </c>
    </row>
    <row r="93" spans="1:4" x14ac:dyDescent="0.2">
      <c r="A93" s="20">
        <f>+'Rainfall Data'!B92</f>
        <v>41385</v>
      </c>
      <c r="B93" s="11">
        <f>+'Rainfall Data'!C92</f>
        <v>0</v>
      </c>
      <c r="C93" s="23">
        <f t="shared" si="10"/>
        <v>53.1</v>
      </c>
      <c r="D93" s="25">
        <f t="shared" si="11"/>
        <v>201304</v>
      </c>
    </row>
    <row r="94" spans="1:4" x14ac:dyDescent="0.2">
      <c r="A94" s="20">
        <f>+'Rainfall Data'!B93</f>
        <v>41386</v>
      </c>
      <c r="B94" s="11">
        <f>+'Rainfall Data'!C93</f>
        <v>0</v>
      </c>
      <c r="C94" s="23">
        <f t="shared" si="10"/>
        <v>53.1</v>
      </c>
      <c r="D94" s="25">
        <f t="shared" si="11"/>
        <v>201304</v>
      </c>
    </row>
    <row r="95" spans="1:4" x14ac:dyDescent="0.2">
      <c r="A95" s="20">
        <f>+'Rainfall Data'!B94</f>
        <v>41387</v>
      </c>
      <c r="B95" s="11">
        <f>+'Rainfall Data'!C94</f>
        <v>0</v>
      </c>
      <c r="C95" s="23">
        <f t="shared" si="10"/>
        <v>53.1</v>
      </c>
      <c r="D95" s="25">
        <f t="shared" si="11"/>
        <v>201304</v>
      </c>
    </row>
    <row r="96" spans="1:4" x14ac:dyDescent="0.2">
      <c r="A96" s="20">
        <f>+'Rainfall Data'!B95</f>
        <v>41388</v>
      </c>
      <c r="B96" s="11">
        <f>+'Rainfall Data'!C95</f>
        <v>0</v>
      </c>
      <c r="C96" s="23">
        <f t="shared" si="10"/>
        <v>53.1</v>
      </c>
      <c r="D96" s="25">
        <f t="shared" si="11"/>
        <v>201304</v>
      </c>
    </row>
    <row r="97" spans="1:4" x14ac:dyDescent="0.2">
      <c r="A97" s="20">
        <f>+'Rainfall Data'!B96</f>
        <v>41389</v>
      </c>
      <c r="B97" s="11">
        <f>+'Rainfall Data'!C96</f>
        <v>0</v>
      </c>
      <c r="C97" s="23">
        <f t="shared" si="10"/>
        <v>53.1</v>
      </c>
      <c r="D97" s="25">
        <f t="shared" si="11"/>
        <v>201304</v>
      </c>
    </row>
    <row r="98" spans="1:4" x14ac:dyDescent="0.2">
      <c r="A98" s="20">
        <f>+'Rainfall Data'!B97</f>
        <v>41390</v>
      </c>
      <c r="B98" s="11">
        <f>+'Rainfall Data'!C97</f>
        <v>0</v>
      </c>
      <c r="C98" s="23">
        <f t="shared" si="10"/>
        <v>53.1</v>
      </c>
      <c r="D98" s="25">
        <f t="shared" si="11"/>
        <v>201304</v>
      </c>
    </row>
    <row r="99" spans="1:4" x14ac:dyDescent="0.2">
      <c r="A99" s="20">
        <f>+'Rainfall Data'!B98</f>
        <v>41391</v>
      </c>
      <c r="B99" s="11">
        <f>+'Rainfall Data'!C98</f>
        <v>0</v>
      </c>
      <c r="C99" s="23">
        <f t="shared" si="10"/>
        <v>53.1</v>
      </c>
      <c r="D99" s="25">
        <f t="shared" si="11"/>
        <v>201304</v>
      </c>
    </row>
    <row r="100" spans="1:4" x14ac:dyDescent="0.2">
      <c r="A100" s="20">
        <f>+'Rainfall Data'!B99</f>
        <v>41392</v>
      </c>
      <c r="B100" s="11">
        <f>+'Rainfall Data'!C99</f>
        <v>0</v>
      </c>
      <c r="C100" s="23">
        <f t="shared" si="10"/>
        <v>53.1</v>
      </c>
      <c r="D100" s="25">
        <f t="shared" si="11"/>
        <v>201304</v>
      </c>
    </row>
    <row r="101" spans="1:4" x14ac:dyDescent="0.2">
      <c r="A101" s="20">
        <f>+'Rainfall Data'!B100</f>
        <v>41393</v>
      </c>
      <c r="B101" s="11">
        <f>+'Rainfall Data'!C100</f>
        <v>0</v>
      </c>
      <c r="C101" s="23">
        <f t="shared" si="10"/>
        <v>53.1</v>
      </c>
      <c r="D101" s="25">
        <f t="shared" si="11"/>
        <v>201304</v>
      </c>
    </row>
    <row r="102" spans="1:4" x14ac:dyDescent="0.2">
      <c r="A102" s="20">
        <f>+'Rainfall Data'!B101</f>
        <v>41394</v>
      </c>
      <c r="B102" s="11">
        <f>+'Rainfall Data'!C101</f>
        <v>0</v>
      </c>
      <c r="C102" s="23">
        <f t="shared" si="10"/>
        <v>53.1</v>
      </c>
      <c r="D102" s="25">
        <f t="shared" si="11"/>
        <v>201304</v>
      </c>
    </row>
    <row r="103" spans="1:4" x14ac:dyDescent="0.2">
      <c r="A103" s="20">
        <f>+'Rainfall Data'!B102</f>
        <v>41395</v>
      </c>
      <c r="B103" s="11">
        <f>+'Rainfall Data'!C102</f>
        <v>11</v>
      </c>
      <c r="C103" s="23">
        <f t="shared" si="10"/>
        <v>64.099999999999994</v>
      </c>
      <c r="D103" s="25">
        <f t="shared" si="11"/>
        <v>201305</v>
      </c>
    </row>
    <row r="104" spans="1:4" x14ac:dyDescent="0.2">
      <c r="A104" s="20">
        <f>+'Rainfall Data'!B103</f>
        <v>41396</v>
      </c>
      <c r="B104" s="11">
        <f>+'Rainfall Data'!C103</f>
        <v>3.9</v>
      </c>
      <c r="C104" s="23">
        <f t="shared" si="10"/>
        <v>68</v>
      </c>
      <c r="D104" s="25">
        <f t="shared" si="11"/>
        <v>201305</v>
      </c>
    </row>
    <row r="105" spans="1:4" x14ac:dyDescent="0.2">
      <c r="A105" s="20">
        <f>+'Rainfall Data'!B104</f>
        <v>41397</v>
      </c>
      <c r="B105" s="11">
        <f>+'Rainfall Data'!C104</f>
        <v>6.3</v>
      </c>
      <c r="C105" s="23">
        <f t="shared" si="10"/>
        <v>74.3</v>
      </c>
      <c r="D105" s="25">
        <f t="shared" si="11"/>
        <v>201305</v>
      </c>
    </row>
    <row r="106" spans="1:4" x14ac:dyDescent="0.2">
      <c r="A106" s="20">
        <f>+'Rainfall Data'!B105</f>
        <v>41398</v>
      </c>
      <c r="B106" s="11">
        <f>+'Rainfall Data'!C105</f>
        <v>5.9</v>
      </c>
      <c r="C106" s="23">
        <f t="shared" si="10"/>
        <v>80.2</v>
      </c>
      <c r="D106" s="25">
        <f t="shared" si="11"/>
        <v>201305</v>
      </c>
    </row>
    <row r="107" spans="1:4" x14ac:dyDescent="0.2">
      <c r="A107" s="20">
        <f>+'Rainfall Data'!B106</f>
        <v>41399</v>
      </c>
      <c r="B107" s="11">
        <f>+'Rainfall Data'!C106</f>
        <v>11.2</v>
      </c>
      <c r="C107" s="23">
        <f t="shared" si="10"/>
        <v>91.4</v>
      </c>
      <c r="D107" s="25">
        <f t="shared" si="11"/>
        <v>201305</v>
      </c>
    </row>
    <row r="108" spans="1:4" x14ac:dyDescent="0.2">
      <c r="A108" s="20">
        <f>+'Rainfall Data'!B107</f>
        <v>41400</v>
      </c>
      <c r="B108" s="11">
        <f>+'Rainfall Data'!C107</f>
        <v>9.6999999999999993</v>
      </c>
      <c r="C108" s="23">
        <f t="shared" si="10"/>
        <v>101.10000000000001</v>
      </c>
      <c r="D108" s="25">
        <f t="shared" si="11"/>
        <v>201305</v>
      </c>
    </row>
    <row r="109" spans="1:4" x14ac:dyDescent="0.2">
      <c r="A109" s="20">
        <f>+'Rainfall Data'!B108</f>
        <v>41401</v>
      </c>
      <c r="B109" s="11">
        <f>+'Rainfall Data'!C108</f>
        <v>7.9</v>
      </c>
      <c r="C109" s="23">
        <f t="shared" si="10"/>
        <v>109.00000000000001</v>
      </c>
      <c r="D109" s="25">
        <f t="shared" si="11"/>
        <v>201305</v>
      </c>
    </row>
    <row r="110" spans="1:4" x14ac:dyDescent="0.2">
      <c r="A110" s="20">
        <f>+'Rainfall Data'!B109</f>
        <v>41402</v>
      </c>
      <c r="B110" s="11">
        <f>+'Rainfall Data'!C109</f>
        <v>0.1</v>
      </c>
      <c r="C110" s="23">
        <f t="shared" si="10"/>
        <v>109.10000000000001</v>
      </c>
      <c r="D110" s="25">
        <f t="shared" si="11"/>
        <v>201305</v>
      </c>
    </row>
    <row r="111" spans="1:4" x14ac:dyDescent="0.2">
      <c r="A111" s="20">
        <f>+'Rainfall Data'!B110</f>
        <v>41403</v>
      </c>
      <c r="B111" s="11">
        <f>+'Rainfall Data'!C110</f>
        <v>0.1</v>
      </c>
      <c r="C111" s="23">
        <f t="shared" si="10"/>
        <v>109.2</v>
      </c>
      <c r="D111" s="25">
        <f t="shared" si="11"/>
        <v>201305</v>
      </c>
    </row>
    <row r="112" spans="1:4" x14ac:dyDescent="0.2">
      <c r="A112" s="20">
        <f>+'Rainfall Data'!B111</f>
        <v>41404</v>
      </c>
      <c r="B112" s="11">
        <f>+'Rainfall Data'!C111</f>
        <v>10.1</v>
      </c>
      <c r="C112" s="23">
        <f t="shared" si="10"/>
        <v>119.3</v>
      </c>
      <c r="D112" s="25">
        <f t="shared" si="11"/>
        <v>201305</v>
      </c>
    </row>
    <row r="113" spans="1:4" x14ac:dyDescent="0.2">
      <c r="A113" s="20">
        <f>+'Rainfall Data'!B112</f>
        <v>41405</v>
      </c>
      <c r="B113" s="11">
        <f>+'Rainfall Data'!C112</f>
        <v>13</v>
      </c>
      <c r="C113" s="23">
        <f t="shared" si="10"/>
        <v>132.30000000000001</v>
      </c>
      <c r="D113" s="25">
        <f t="shared" si="11"/>
        <v>201305</v>
      </c>
    </row>
    <row r="114" spans="1:4" x14ac:dyDescent="0.2">
      <c r="A114" s="20">
        <f>+'Rainfall Data'!B113</f>
        <v>41406</v>
      </c>
      <c r="B114" s="11">
        <f>+'Rainfall Data'!C113</f>
        <v>5.0999999999999996</v>
      </c>
      <c r="C114" s="23">
        <f t="shared" si="10"/>
        <v>137.4</v>
      </c>
      <c r="D114" s="25">
        <f t="shared" si="11"/>
        <v>201305</v>
      </c>
    </row>
    <row r="115" spans="1:4" x14ac:dyDescent="0.2">
      <c r="A115" s="20">
        <f>+'Rainfall Data'!B114</f>
        <v>41407</v>
      </c>
      <c r="B115" s="11">
        <f>+'Rainfall Data'!C114</f>
        <v>8</v>
      </c>
      <c r="C115" s="23">
        <f t="shared" si="10"/>
        <v>145.4</v>
      </c>
      <c r="D115" s="25">
        <f t="shared" si="11"/>
        <v>201305</v>
      </c>
    </row>
    <row r="116" spans="1:4" x14ac:dyDescent="0.2">
      <c r="A116" s="20">
        <f>+'Rainfall Data'!B115</f>
        <v>41408</v>
      </c>
      <c r="B116" s="11">
        <f>+'Rainfall Data'!C115</f>
        <v>5.6</v>
      </c>
      <c r="C116" s="23">
        <f t="shared" si="10"/>
        <v>151</v>
      </c>
      <c r="D116" s="25">
        <f t="shared" si="11"/>
        <v>201305</v>
      </c>
    </row>
    <row r="117" spans="1:4" x14ac:dyDescent="0.2">
      <c r="A117" s="20">
        <f>+'Rainfall Data'!B116</f>
        <v>41409</v>
      </c>
      <c r="B117" s="11">
        <f>+'Rainfall Data'!C116</f>
        <v>0.3</v>
      </c>
      <c r="C117" s="23">
        <f t="shared" si="10"/>
        <v>151.30000000000001</v>
      </c>
      <c r="D117" s="25">
        <f t="shared" si="11"/>
        <v>201305</v>
      </c>
    </row>
    <row r="118" spans="1:4" x14ac:dyDescent="0.2">
      <c r="A118" s="20">
        <f>+'Rainfall Data'!B117</f>
        <v>41410</v>
      </c>
      <c r="B118" s="11">
        <f>+'Rainfall Data'!C117</f>
        <v>0.5</v>
      </c>
      <c r="C118" s="23">
        <f t="shared" si="10"/>
        <v>151.80000000000001</v>
      </c>
      <c r="D118" s="25">
        <f t="shared" si="11"/>
        <v>201305</v>
      </c>
    </row>
    <row r="119" spans="1:4" x14ac:dyDescent="0.2">
      <c r="A119" s="20">
        <f>+'Rainfall Data'!B118</f>
        <v>41411</v>
      </c>
      <c r="B119" s="11">
        <f>+'Rainfall Data'!C118</f>
        <v>0.5</v>
      </c>
      <c r="C119" s="23">
        <f t="shared" si="10"/>
        <v>152.30000000000001</v>
      </c>
      <c r="D119" s="25">
        <f t="shared" si="11"/>
        <v>201305</v>
      </c>
    </row>
    <row r="120" spans="1:4" x14ac:dyDescent="0.2">
      <c r="A120" s="20">
        <f>+'Rainfall Data'!B119</f>
        <v>41412</v>
      </c>
      <c r="B120" s="11">
        <f>+'Rainfall Data'!C119</f>
        <v>11.8</v>
      </c>
      <c r="C120" s="23">
        <f t="shared" si="10"/>
        <v>164.10000000000002</v>
      </c>
      <c r="D120" s="25">
        <f t="shared" si="11"/>
        <v>201305</v>
      </c>
    </row>
    <row r="121" spans="1:4" x14ac:dyDescent="0.2">
      <c r="A121" s="20">
        <f>+'Rainfall Data'!B120</f>
        <v>41413</v>
      </c>
      <c r="B121" s="11">
        <f>+'Rainfall Data'!C120</f>
        <v>15.9</v>
      </c>
      <c r="C121" s="23">
        <f t="shared" si="10"/>
        <v>180.00000000000003</v>
      </c>
      <c r="D121" s="25">
        <f t="shared" si="11"/>
        <v>201305</v>
      </c>
    </row>
    <row r="122" spans="1:4" x14ac:dyDescent="0.2">
      <c r="A122" s="20">
        <f>+'Rainfall Data'!B121</f>
        <v>41414</v>
      </c>
      <c r="B122" s="11">
        <f>+'Rainfall Data'!C121</f>
        <v>7.2</v>
      </c>
      <c r="C122" s="23">
        <f t="shared" si="10"/>
        <v>187.20000000000002</v>
      </c>
      <c r="D122" s="25">
        <f t="shared" si="11"/>
        <v>201305</v>
      </c>
    </row>
    <row r="123" spans="1:4" x14ac:dyDescent="0.2">
      <c r="A123" s="20">
        <f>+'Rainfall Data'!B122</f>
        <v>41415</v>
      </c>
      <c r="B123" s="11">
        <f>+'Rainfall Data'!C122</f>
        <v>7.1</v>
      </c>
      <c r="C123" s="23">
        <f t="shared" si="10"/>
        <v>194.3</v>
      </c>
      <c r="D123" s="25">
        <f t="shared" si="11"/>
        <v>201305</v>
      </c>
    </row>
    <row r="124" spans="1:4" x14ac:dyDescent="0.2">
      <c r="A124" s="20">
        <f>+'Rainfall Data'!B123</f>
        <v>41416</v>
      </c>
      <c r="B124" s="11">
        <f>+'Rainfall Data'!C123</f>
        <v>12.4</v>
      </c>
      <c r="C124" s="23">
        <f t="shared" si="10"/>
        <v>206.70000000000002</v>
      </c>
      <c r="D124" s="25">
        <f t="shared" si="11"/>
        <v>201305</v>
      </c>
    </row>
    <row r="125" spans="1:4" x14ac:dyDescent="0.2">
      <c r="A125" s="20">
        <f>+'Rainfall Data'!B124</f>
        <v>41417</v>
      </c>
      <c r="B125" s="11">
        <f>+'Rainfall Data'!C124</f>
        <v>6.5</v>
      </c>
      <c r="C125" s="23">
        <f t="shared" si="10"/>
        <v>213.20000000000002</v>
      </c>
      <c r="D125" s="25">
        <f t="shared" si="11"/>
        <v>201305</v>
      </c>
    </row>
    <row r="126" spans="1:4" x14ac:dyDescent="0.2">
      <c r="A126" s="20">
        <f>+'Rainfall Data'!B125</f>
        <v>41418</v>
      </c>
      <c r="B126" s="11">
        <f>+'Rainfall Data'!C125</f>
        <v>4.7</v>
      </c>
      <c r="C126" s="23">
        <f t="shared" si="10"/>
        <v>217.9</v>
      </c>
      <c r="D126" s="25">
        <f t="shared" si="11"/>
        <v>201305</v>
      </c>
    </row>
    <row r="127" spans="1:4" x14ac:dyDescent="0.2">
      <c r="A127" s="20">
        <f>+'Rainfall Data'!B126</f>
        <v>41419</v>
      </c>
      <c r="B127" s="11">
        <f>+'Rainfall Data'!C126</f>
        <v>11.3</v>
      </c>
      <c r="C127" s="23">
        <f t="shared" si="10"/>
        <v>229.20000000000002</v>
      </c>
      <c r="D127" s="25">
        <f t="shared" si="11"/>
        <v>201305</v>
      </c>
    </row>
    <row r="128" spans="1:4" x14ac:dyDescent="0.2">
      <c r="A128" s="20">
        <f>+'Rainfall Data'!B127</f>
        <v>41420</v>
      </c>
      <c r="B128" s="11">
        <f>+'Rainfall Data'!C127</f>
        <v>7.4</v>
      </c>
      <c r="C128" s="23">
        <f t="shared" si="10"/>
        <v>236.60000000000002</v>
      </c>
      <c r="D128" s="25">
        <f t="shared" si="11"/>
        <v>201305</v>
      </c>
    </row>
    <row r="129" spans="1:4" x14ac:dyDescent="0.2">
      <c r="A129" s="20">
        <f>+'Rainfall Data'!B128</f>
        <v>41421</v>
      </c>
      <c r="B129" s="11">
        <f>+'Rainfall Data'!C128</f>
        <v>6.4</v>
      </c>
      <c r="C129" s="23">
        <f t="shared" si="10"/>
        <v>243.00000000000003</v>
      </c>
      <c r="D129" s="25">
        <f t="shared" si="11"/>
        <v>201305</v>
      </c>
    </row>
    <row r="130" spans="1:4" x14ac:dyDescent="0.2">
      <c r="A130" s="20">
        <f>+'Rainfall Data'!B129</f>
        <v>41422</v>
      </c>
      <c r="B130" s="11">
        <f>+'Rainfall Data'!C129</f>
        <v>4.4000000000000004</v>
      </c>
      <c r="C130" s="23">
        <f t="shared" si="10"/>
        <v>247.40000000000003</v>
      </c>
      <c r="D130" s="25">
        <f t="shared" si="11"/>
        <v>201305</v>
      </c>
    </row>
    <row r="131" spans="1:4" x14ac:dyDescent="0.2">
      <c r="A131" s="20">
        <f>+'Rainfall Data'!B130</f>
        <v>41423</v>
      </c>
      <c r="B131" s="11">
        <f>+'Rainfall Data'!C130</f>
        <v>4</v>
      </c>
      <c r="C131" s="23">
        <f t="shared" si="10"/>
        <v>251.40000000000003</v>
      </c>
      <c r="D131" s="25">
        <f t="shared" si="11"/>
        <v>201305</v>
      </c>
    </row>
    <row r="132" spans="1:4" x14ac:dyDescent="0.2">
      <c r="A132" s="20">
        <f>+'Rainfall Data'!B131</f>
        <v>41424</v>
      </c>
      <c r="B132" s="11">
        <f>+'Rainfall Data'!C131</f>
        <v>11.7</v>
      </c>
      <c r="C132" s="23">
        <f t="shared" si="10"/>
        <v>263.10000000000002</v>
      </c>
      <c r="D132" s="25">
        <f t="shared" si="11"/>
        <v>201305</v>
      </c>
    </row>
    <row r="133" spans="1:4" x14ac:dyDescent="0.2">
      <c r="A133" s="20">
        <f>+'Rainfall Data'!B132</f>
        <v>41425</v>
      </c>
      <c r="B133" s="11">
        <f>+'Rainfall Data'!C132</f>
        <v>3.6</v>
      </c>
      <c r="C133" s="23">
        <f t="shared" si="10"/>
        <v>266.70000000000005</v>
      </c>
      <c r="D133" s="25">
        <f t="shared" si="11"/>
        <v>201305</v>
      </c>
    </row>
    <row r="134" spans="1:4" x14ac:dyDescent="0.2">
      <c r="A134" s="20">
        <f>+'Rainfall Data'!B133</f>
        <v>41426</v>
      </c>
      <c r="B134" s="11">
        <f>+'Rainfall Data'!C133</f>
        <v>19.399999999999999</v>
      </c>
      <c r="C134" s="23">
        <f t="shared" si="10"/>
        <v>286.10000000000002</v>
      </c>
      <c r="D134" s="25">
        <f t="shared" si="11"/>
        <v>201306</v>
      </c>
    </row>
    <row r="135" spans="1:4" x14ac:dyDescent="0.2">
      <c r="A135" s="20">
        <f>+'Rainfall Data'!B134</f>
        <v>41427</v>
      </c>
      <c r="B135" s="11">
        <f>+'Rainfall Data'!C134</f>
        <v>24.3</v>
      </c>
      <c r="C135" s="23">
        <f t="shared" si="10"/>
        <v>310.40000000000003</v>
      </c>
      <c r="D135" s="25">
        <f t="shared" si="11"/>
        <v>201306</v>
      </c>
    </row>
    <row r="136" spans="1:4" x14ac:dyDescent="0.2">
      <c r="A136" s="20">
        <f>+'Rainfall Data'!B135</f>
        <v>41428</v>
      </c>
      <c r="B136" s="11">
        <f>+'Rainfall Data'!C135</f>
        <v>17.100000000000001</v>
      </c>
      <c r="C136" s="23">
        <f t="shared" si="10"/>
        <v>327.50000000000006</v>
      </c>
      <c r="D136" s="25">
        <f t="shared" si="11"/>
        <v>201306</v>
      </c>
    </row>
    <row r="137" spans="1:4" x14ac:dyDescent="0.2">
      <c r="A137" s="20">
        <f>+'Rainfall Data'!B136</f>
        <v>41429</v>
      </c>
      <c r="B137" s="11">
        <f>+'Rainfall Data'!C136</f>
        <v>145.19999999999999</v>
      </c>
      <c r="C137" s="23">
        <f t="shared" si="10"/>
        <v>472.70000000000005</v>
      </c>
      <c r="D137" s="25">
        <f t="shared" si="11"/>
        <v>201306</v>
      </c>
    </row>
    <row r="138" spans="1:4" x14ac:dyDescent="0.2">
      <c r="A138" s="20">
        <f>+'Rainfall Data'!B137</f>
        <v>41430</v>
      </c>
      <c r="B138" s="11">
        <f>+'Rainfall Data'!C137</f>
        <v>14.3</v>
      </c>
      <c r="C138" s="23">
        <f t="shared" si="10"/>
        <v>487.00000000000006</v>
      </c>
      <c r="D138" s="25">
        <f t="shared" si="11"/>
        <v>201306</v>
      </c>
    </row>
    <row r="139" spans="1:4" x14ac:dyDescent="0.2">
      <c r="A139" s="20">
        <f>+'Rainfall Data'!B138</f>
        <v>41431</v>
      </c>
      <c r="B139" s="11">
        <f>+'Rainfall Data'!C138</f>
        <v>27.5</v>
      </c>
      <c r="C139" s="23">
        <f t="shared" si="10"/>
        <v>514.5</v>
      </c>
      <c r="D139" s="25">
        <f t="shared" si="11"/>
        <v>201306</v>
      </c>
    </row>
    <row r="140" spans="1:4" x14ac:dyDescent="0.2">
      <c r="A140" s="20">
        <f>+'Rainfall Data'!B139</f>
        <v>41432</v>
      </c>
      <c r="B140" s="11">
        <f>+'Rainfall Data'!C139</f>
        <v>19.8</v>
      </c>
      <c r="C140" s="23">
        <f t="shared" si="10"/>
        <v>534.29999999999995</v>
      </c>
      <c r="D140" s="25">
        <f t="shared" si="11"/>
        <v>201306</v>
      </c>
    </row>
    <row r="141" spans="1:4" x14ac:dyDescent="0.2">
      <c r="A141" s="20">
        <f>+'Rainfall Data'!B140</f>
        <v>41433</v>
      </c>
      <c r="B141" s="11">
        <f>+'Rainfall Data'!C140</f>
        <v>0.4</v>
      </c>
      <c r="C141" s="23">
        <f t="shared" si="10"/>
        <v>534.69999999999993</v>
      </c>
      <c r="D141" s="25">
        <f t="shared" si="11"/>
        <v>201306</v>
      </c>
    </row>
    <row r="142" spans="1:4" x14ac:dyDescent="0.2">
      <c r="A142" s="20">
        <f>+'Rainfall Data'!B141</f>
        <v>41434</v>
      </c>
      <c r="B142" s="11">
        <f>+'Rainfall Data'!C141</f>
        <v>14</v>
      </c>
      <c r="C142" s="23">
        <f t="shared" si="10"/>
        <v>548.69999999999993</v>
      </c>
      <c r="D142" s="25">
        <f t="shared" si="11"/>
        <v>201306</v>
      </c>
    </row>
    <row r="143" spans="1:4" x14ac:dyDescent="0.2">
      <c r="A143" s="20">
        <f>+'Rainfall Data'!B142</f>
        <v>41435</v>
      </c>
      <c r="B143" s="11">
        <f>+'Rainfall Data'!C142</f>
        <v>0.9</v>
      </c>
      <c r="C143" s="23">
        <f t="shared" si="10"/>
        <v>549.59999999999991</v>
      </c>
      <c r="D143" s="25">
        <f t="shared" si="11"/>
        <v>201306</v>
      </c>
    </row>
    <row r="144" spans="1:4" x14ac:dyDescent="0.2">
      <c r="A144" s="20">
        <f>+'Rainfall Data'!B143</f>
        <v>41436</v>
      </c>
      <c r="B144" s="11">
        <f>+'Rainfall Data'!C143</f>
        <v>9</v>
      </c>
      <c r="C144" s="23">
        <f t="shared" si="10"/>
        <v>558.59999999999991</v>
      </c>
      <c r="D144" s="25">
        <f t="shared" si="11"/>
        <v>201306</v>
      </c>
    </row>
    <row r="145" spans="1:4" x14ac:dyDescent="0.2">
      <c r="A145" s="20">
        <f>+'Rainfall Data'!B144</f>
        <v>41437</v>
      </c>
      <c r="B145" s="11">
        <f>+'Rainfall Data'!C144</f>
        <v>1.4</v>
      </c>
      <c r="C145" s="23">
        <f t="shared" si="10"/>
        <v>559.99999999999989</v>
      </c>
      <c r="D145" s="25">
        <f t="shared" si="11"/>
        <v>201306</v>
      </c>
    </row>
    <row r="146" spans="1:4" x14ac:dyDescent="0.2">
      <c r="A146" s="20">
        <f>+'Rainfall Data'!B145</f>
        <v>41438</v>
      </c>
      <c r="B146" s="11">
        <f>+'Rainfall Data'!C145</f>
        <v>2</v>
      </c>
      <c r="C146" s="23">
        <f t="shared" si="10"/>
        <v>561.99999999999989</v>
      </c>
      <c r="D146" s="25">
        <f t="shared" si="11"/>
        <v>201306</v>
      </c>
    </row>
    <row r="147" spans="1:4" x14ac:dyDescent="0.2">
      <c r="A147" s="20">
        <f>+'Rainfall Data'!B146</f>
        <v>41439</v>
      </c>
      <c r="B147" s="11">
        <f>+'Rainfall Data'!C146</f>
        <v>15.5</v>
      </c>
      <c r="C147" s="23">
        <f t="shared" si="10"/>
        <v>577.49999999999989</v>
      </c>
      <c r="D147" s="25">
        <f t="shared" si="11"/>
        <v>201306</v>
      </c>
    </row>
    <row r="148" spans="1:4" x14ac:dyDescent="0.2">
      <c r="A148" s="20">
        <f>+'Rainfall Data'!B147</f>
        <v>41440</v>
      </c>
      <c r="B148" s="11">
        <f>+'Rainfall Data'!C147</f>
        <v>6.3</v>
      </c>
      <c r="C148" s="23">
        <f t="shared" ref="C148:C211" si="12">IF(B148="nd",0, IF(B148="T",0,B148))+C147</f>
        <v>583.79999999999984</v>
      </c>
      <c r="D148" s="25">
        <f t="shared" si="11"/>
        <v>201306</v>
      </c>
    </row>
    <row r="149" spans="1:4" x14ac:dyDescent="0.2">
      <c r="A149" s="20">
        <f>+'Rainfall Data'!B148</f>
        <v>41441</v>
      </c>
      <c r="B149" s="11">
        <f>+'Rainfall Data'!C148</f>
        <v>0.3</v>
      </c>
      <c r="C149" s="23">
        <f t="shared" si="12"/>
        <v>584.0999999999998</v>
      </c>
      <c r="D149" s="25">
        <f t="shared" ref="D149:D212" si="13">+YEAR(A149)*100+MONTH(A149)</f>
        <v>201306</v>
      </c>
    </row>
    <row r="150" spans="1:4" x14ac:dyDescent="0.2">
      <c r="A150" s="20">
        <f>+'Rainfall Data'!B149</f>
        <v>41442</v>
      </c>
      <c r="B150" s="11">
        <f>+'Rainfall Data'!C149</f>
        <v>2.2000000000000002</v>
      </c>
      <c r="C150" s="23">
        <f t="shared" si="12"/>
        <v>586.29999999999984</v>
      </c>
      <c r="D150" s="25">
        <f t="shared" si="13"/>
        <v>201306</v>
      </c>
    </row>
    <row r="151" spans="1:4" x14ac:dyDescent="0.2">
      <c r="A151" s="20">
        <f>+'Rainfall Data'!B150</f>
        <v>41443</v>
      </c>
      <c r="B151" s="11">
        <f>+'Rainfall Data'!C150</f>
        <v>26.1</v>
      </c>
      <c r="C151" s="23">
        <f t="shared" si="12"/>
        <v>612.39999999999986</v>
      </c>
      <c r="D151" s="25">
        <f t="shared" si="13"/>
        <v>201306</v>
      </c>
    </row>
    <row r="152" spans="1:4" x14ac:dyDescent="0.2">
      <c r="A152" s="20">
        <f>+'Rainfall Data'!B151</f>
        <v>41444</v>
      </c>
      <c r="B152" s="11">
        <f>+'Rainfall Data'!C151</f>
        <v>2.4</v>
      </c>
      <c r="C152" s="23">
        <f t="shared" si="12"/>
        <v>614.79999999999984</v>
      </c>
      <c r="D152" s="25">
        <f t="shared" si="13"/>
        <v>201306</v>
      </c>
    </row>
    <row r="153" spans="1:4" x14ac:dyDescent="0.2">
      <c r="A153" s="20">
        <f>+'Rainfall Data'!B152</f>
        <v>41445</v>
      </c>
      <c r="B153" s="11">
        <f>+'Rainfall Data'!C152</f>
        <v>0.3</v>
      </c>
      <c r="C153" s="23">
        <f t="shared" si="12"/>
        <v>615.0999999999998</v>
      </c>
      <c r="D153" s="25">
        <f t="shared" si="13"/>
        <v>201306</v>
      </c>
    </row>
    <row r="154" spans="1:4" x14ac:dyDescent="0.2">
      <c r="A154" s="20">
        <f>+'Rainfall Data'!B153</f>
        <v>41446</v>
      </c>
      <c r="B154" s="11">
        <f>+'Rainfall Data'!C153</f>
        <v>0.2</v>
      </c>
      <c r="C154" s="23">
        <f t="shared" si="12"/>
        <v>615.29999999999984</v>
      </c>
      <c r="D154" s="25">
        <f t="shared" si="13"/>
        <v>201306</v>
      </c>
    </row>
    <row r="155" spans="1:4" x14ac:dyDescent="0.2">
      <c r="A155" s="20">
        <f>+'Rainfall Data'!B154</f>
        <v>41447</v>
      </c>
      <c r="B155" s="11">
        <f>+'Rainfall Data'!C154</f>
        <v>1.6</v>
      </c>
      <c r="C155" s="23">
        <f t="shared" si="12"/>
        <v>616.89999999999986</v>
      </c>
      <c r="D155" s="25">
        <f t="shared" si="13"/>
        <v>201306</v>
      </c>
    </row>
    <row r="156" spans="1:4" x14ac:dyDescent="0.2">
      <c r="A156" s="20">
        <f>+'Rainfall Data'!B155</f>
        <v>41448</v>
      </c>
      <c r="B156" s="11">
        <f>+'Rainfall Data'!C155</f>
        <v>0.3</v>
      </c>
      <c r="C156" s="23">
        <f t="shared" si="12"/>
        <v>617.19999999999982</v>
      </c>
      <c r="D156" s="25">
        <f t="shared" si="13"/>
        <v>201306</v>
      </c>
    </row>
    <row r="157" spans="1:4" x14ac:dyDescent="0.2">
      <c r="A157" s="20">
        <f>+'Rainfall Data'!B156</f>
        <v>41449</v>
      </c>
      <c r="B157" s="11">
        <f>+'Rainfall Data'!C156</f>
        <v>0</v>
      </c>
      <c r="C157" s="23">
        <f t="shared" si="12"/>
        <v>617.19999999999982</v>
      </c>
      <c r="D157" s="25">
        <f t="shared" si="13"/>
        <v>201306</v>
      </c>
    </row>
    <row r="158" spans="1:4" x14ac:dyDescent="0.2">
      <c r="A158" s="20">
        <f>+'Rainfall Data'!B157</f>
        <v>41450</v>
      </c>
      <c r="B158" s="11">
        <f>+'Rainfall Data'!C157</f>
        <v>12.7</v>
      </c>
      <c r="C158" s="23">
        <f t="shared" si="12"/>
        <v>629.89999999999986</v>
      </c>
      <c r="D158" s="25">
        <f t="shared" si="13"/>
        <v>201306</v>
      </c>
    </row>
    <row r="159" spans="1:4" x14ac:dyDescent="0.2">
      <c r="A159" s="20">
        <f>+'Rainfall Data'!B158</f>
        <v>41451</v>
      </c>
      <c r="B159" s="11">
        <f>+'Rainfall Data'!C158</f>
        <v>0</v>
      </c>
      <c r="C159" s="23">
        <f t="shared" si="12"/>
        <v>629.89999999999986</v>
      </c>
      <c r="D159" s="25">
        <f t="shared" si="13"/>
        <v>201306</v>
      </c>
    </row>
    <row r="160" spans="1:4" x14ac:dyDescent="0.2">
      <c r="A160" s="20">
        <f>+'Rainfall Data'!B159</f>
        <v>41452</v>
      </c>
      <c r="B160" s="11">
        <f>+'Rainfall Data'!C159</f>
        <v>0.2</v>
      </c>
      <c r="C160" s="23">
        <f t="shared" si="12"/>
        <v>630.09999999999991</v>
      </c>
      <c r="D160" s="25">
        <f t="shared" si="13"/>
        <v>201306</v>
      </c>
    </row>
    <row r="161" spans="1:4" x14ac:dyDescent="0.2">
      <c r="A161" s="20">
        <f>+'Rainfall Data'!B160</f>
        <v>41453</v>
      </c>
      <c r="B161" s="11">
        <f>+'Rainfall Data'!C160</f>
        <v>0</v>
      </c>
      <c r="C161" s="23">
        <f t="shared" si="12"/>
        <v>630.09999999999991</v>
      </c>
      <c r="D161" s="25">
        <f t="shared" si="13"/>
        <v>201306</v>
      </c>
    </row>
    <row r="162" spans="1:4" x14ac:dyDescent="0.2">
      <c r="A162" s="20">
        <f>+'Rainfall Data'!B161</f>
        <v>41454</v>
      </c>
      <c r="B162" s="11">
        <f>+'Rainfall Data'!C161</f>
        <v>0.6</v>
      </c>
      <c r="C162" s="23">
        <f t="shared" si="12"/>
        <v>630.69999999999993</v>
      </c>
      <c r="D162" s="25">
        <f t="shared" si="13"/>
        <v>201306</v>
      </c>
    </row>
    <row r="163" spans="1:4" x14ac:dyDescent="0.2">
      <c r="A163" s="20">
        <f>+'Rainfall Data'!B162</f>
        <v>41455</v>
      </c>
      <c r="B163" s="11">
        <f>+'Rainfall Data'!C162</f>
        <v>0</v>
      </c>
      <c r="C163" s="23">
        <f t="shared" si="12"/>
        <v>630.69999999999993</v>
      </c>
      <c r="D163" s="25">
        <f t="shared" si="13"/>
        <v>201306</v>
      </c>
    </row>
    <row r="164" spans="1:4" x14ac:dyDescent="0.2">
      <c r="A164" s="20">
        <f>+'Rainfall Data'!B163</f>
        <v>41456</v>
      </c>
      <c r="B164" s="11">
        <f>+'Rainfall Data'!C163</f>
        <v>0.3</v>
      </c>
      <c r="C164" s="23">
        <f t="shared" si="12"/>
        <v>630.99999999999989</v>
      </c>
      <c r="D164" s="25">
        <f t="shared" si="13"/>
        <v>201307</v>
      </c>
    </row>
    <row r="165" spans="1:4" x14ac:dyDescent="0.2">
      <c r="A165" s="20">
        <f>+'Rainfall Data'!B164</f>
        <v>41457</v>
      </c>
      <c r="B165" s="11">
        <f>+'Rainfall Data'!C164</f>
        <v>0</v>
      </c>
      <c r="C165" s="23">
        <f t="shared" si="12"/>
        <v>630.99999999999989</v>
      </c>
      <c r="D165" s="25">
        <f t="shared" si="13"/>
        <v>201307</v>
      </c>
    </row>
    <row r="166" spans="1:4" x14ac:dyDescent="0.2">
      <c r="A166" s="20">
        <f>+'Rainfall Data'!B165</f>
        <v>41458</v>
      </c>
      <c r="B166" s="11">
        <f>+'Rainfall Data'!C165</f>
        <v>27.8</v>
      </c>
      <c r="C166" s="23">
        <f t="shared" si="12"/>
        <v>658.79999999999984</v>
      </c>
      <c r="D166" s="25">
        <f t="shared" si="13"/>
        <v>201307</v>
      </c>
    </row>
    <row r="167" spans="1:4" x14ac:dyDescent="0.2">
      <c r="A167" s="20">
        <f>+'Rainfall Data'!B166</f>
        <v>41459</v>
      </c>
      <c r="B167" s="11">
        <f>+'Rainfall Data'!C166</f>
        <v>0</v>
      </c>
      <c r="C167" s="23">
        <f t="shared" si="12"/>
        <v>658.79999999999984</v>
      </c>
      <c r="D167" s="25">
        <f t="shared" si="13"/>
        <v>201307</v>
      </c>
    </row>
    <row r="168" spans="1:4" x14ac:dyDescent="0.2">
      <c r="A168" s="20">
        <f>+'Rainfall Data'!B167</f>
        <v>41460</v>
      </c>
      <c r="B168" s="11">
        <f>+'Rainfall Data'!C167</f>
        <v>0</v>
      </c>
      <c r="C168" s="23">
        <f t="shared" si="12"/>
        <v>658.79999999999984</v>
      </c>
      <c r="D168" s="25">
        <f t="shared" si="13"/>
        <v>201307</v>
      </c>
    </row>
    <row r="169" spans="1:4" x14ac:dyDescent="0.2">
      <c r="A169" s="20">
        <f>+'Rainfall Data'!B168</f>
        <v>41461</v>
      </c>
      <c r="B169" s="11">
        <f>+'Rainfall Data'!C168</f>
        <v>7.2</v>
      </c>
      <c r="C169" s="23">
        <f t="shared" si="12"/>
        <v>665.99999999999989</v>
      </c>
      <c r="D169" s="25">
        <f t="shared" si="13"/>
        <v>201307</v>
      </c>
    </row>
    <row r="170" spans="1:4" x14ac:dyDescent="0.2">
      <c r="A170" s="20">
        <f>+'Rainfall Data'!B169</f>
        <v>41462</v>
      </c>
      <c r="B170" s="11">
        <f>+'Rainfall Data'!C169</f>
        <v>0.5</v>
      </c>
      <c r="C170" s="23">
        <f t="shared" si="12"/>
        <v>666.49999999999989</v>
      </c>
      <c r="D170" s="25">
        <f t="shared" si="13"/>
        <v>201307</v>
      </c>
    </row>
    <row r="171" spans="1:4" x14ac:dyDescent="0.2">
      <c r="A171" s="20">
        <f>+'Rainfall Data'!B170</f>
        <v>41463</v>
      </c>
      <c r="B171" s="11">
        <f>+'Rainfall Data'!C170</f>
        <v>0.9</v>
      </c>
      <c r="C171" s="23">
        <f t="shared" si="12"/>
        <v>667.39999999999986</v>
      </c>
      <c r="D171" s="25">
        <f t="shared" si="13"/>
        <v>201307</v>
      </c>
    </row>
    <row r="172" spans="1:4" x14ac:dyDescent="0.2">
      <c r="A172" s="20">
        <f>+'Rainfall Data'!B171</f>
        <v>41464</v>
      </c>
      <c r="B172" s="11">
        <f>+'Rainfall Data'!C171</f>
        <v>0</v>
      </c>
      <c r="C172" s="23">
        <f t="shared" si="12"/>
        <v>667.39999999999986</v>
      </c>
      <c r="D172" s="25">
        <f t="shared" si="13"/>
        <v>201307</v>
      </c>
    </row>
    <row r="173" spans="1:4" x14ac:dyDescent="0.2">
      <c r="A173" s="20">
        <f>+'Rainfall Data'!B172</f>
        <v>41465</v>
      </c>
      <c r="B173" s="11">
        <f>+'Rainfall Data'!C172</f>
        <v>0.3</v>
      </c>
      <c r="C173" s="23">
        <f t="shared" si="12"/>
        <v>667.69999999999982</v>
      </c>
      <c r="D173" s="25">
        <f t="shared" si="13"/>
        <v>201307</v>
      </c>
    </row>
    <row r="174" spans="1:4" x14ac:dyDescent="0.2">
      <c r="A174" s="20">
        <f>+'Rainfall Data'!B173</f>
        <v>41466</v>
      </c>
      <c r="B174" s="11">
        <f>+'Rainfall Data'!C173</f>
        <v>3.6</v>
      </c>
      <c r="C174" s="23">
        <f t="shared" si="12"/>
        <v>671.29999999999984</v>
      </c>
      <c r="D174" s="25">
        <f t="shared" si="13"/>
        <v>201307</v>
      </c>
    </row>
    <row r="175" spans="1:4" x14ac:dyDescent="0.2">
      <c r="A175" s="20">
        <f>+'Rainfall Data'!B174</f>
        <v>41467</v>
      </c>
      <c r="B175" s="11">
        <f>+'Rainfall Data'!C174</f>
        <v>0.9</v>
      </c>
      <c r="C175" s="23">
        <f t="shared" si="12"/>
        <v>672.19999999999982</v>
      </c>
      <c r="D175" s="25">
        <f t="shared" si="13"/>
        <v>201307</v>
      </c>
    </row>
    <row r="176" spans="1:4" x14ac:dyDescent="0.2">
      <c r="A176" s="20">
        <f>+'Rainfall Data'!B175</f>
        <v>41468</v>
      </c>
      <c r="B176" s="11">
        <f>+'Rainfall Data'!C175</f>
        <v>0</v>
      </c>
      <c r="C176" s="23">
        <f t="shared" si="12"/>
        <v>672.19999999999982</v>
      </c>
      <c r="D176" s="25">
        <f t="shared" si="13"/>
        <v>201307</v>
      </c>
    </row>
    <row r="177" spans="1:4" x14ac:dyDescent="0.2">
      <c r="A177" s="20">
        <f>+'Rainfall Data'!B176</f>
        <v>41469</v>
      </c>
      <c r="B177" s="11">
        <f>+'Rainfall Data'!C176</f>
        <v>0.3</v>
      </c>
      <c r="C177" s="23">
        <f t="shared" si="12"/>
        <v>672.49999999999977</v>
      </c>
      <c r="D177" s="25">
        <f t="shared" si="13"/>
        <v>201307</v>
      </c>
    </row>
    <row r="178" spans="1:4" x14ac:dyDescent="0.2">
      <c r="A178" s="20">
        <f>+'Rainfall Data'!B177</f>
        <v>41470</v>
      </c>
      <c r="B178" s="11">
        <f>+'Rainfall Data'!C177</f>
        <v>0</v>
      </c>
      <c r="C178" s="23">
        <f t="shared" si="12"/>
        <v>672.49999999999977</v>
      </c>
      <c r="D178" s="25">
        <f t="shared" si="13"/>
        <v>201307</v>
      </c>
    </row>
    <row r="179" spans="1:4" x14ac:dyDescent="0.2">
      <c r="A179" s="20">
        <f>+'Rainfall Data'!B178</f>
        <v>41471</v>
      </c>
      <c r="B179" s="11">
        <f>+'Rainfall Data'!C178</f>
        <v>0.9</v>
      </c>
      <c r="C179" s="23">
        <f t="shared" si="12"/>
        <v>673.39999999999975</v>
      </c>
      <c r="D179" s="25">
        <f t="shared" si="13"/>
        <v>201307</v>
      </c>
    </row>
    <row r="180" spans="1:4" x14ac:dyDescent="0.2">
      <c r="A180" s="20">
        <f>+'Rainfall Data'!B179</f>
        <v>41472</v>
      </c>
      <c r="B180" s="11">
        <f>+'Rainfall Data'!C179</f>
        <v>0</v>
      </c>
      <c r="C180" s="23">
        <f t="shared" si="12"/>
        <v>673.39999999999975</v>
      </c>
      <c r="D180" s="25">
        <f t="shared" si="13"/>
        <v>201307</v>
      </c>
    </row>
    <row r="181" spans="1:4" x14ac:dyDescent="0.2">
      <c r="A181" s="20">
        <f>+'Rainfall Data'!B180</f>
        <v>41473</v>
      </c>
      <c r="B181" s="11">
        <f>+'Rainfall Data'!C180</f>
        <v>0.5</v>
      </c>
      <c r="C181" s="23">
        <f t="shared" si="12"/>
        <v>673.89999999999975</v>
      </c>
      <c r="D181" s="25">
        <f t="shared" si="13"/>
        <v>201307</v>
      </c>
    </row>
    <row r="182" spans="1:4" x14ac:dyDescent="0.2">
      <c r="A182" s="20">
        <f>+'Rainfall Data'!B181</f>
        <v>41474</v>
      </c>
      <c r="B182" s="11">
        <f>+'Rainfall Data'!C181</f>
        <v>0.8</v>
      </c>
      <c r="C182" s="23">
        <f t="shared" si="12"/>
        <v>674.6999999999997</v>
      </c>
      <c r="D182" s="25">
        <f t="shared" si="13"/>
        <v>201307</v>
      </c>
    </row>
    <row r="183" spans="1:4" x14ac:dyDescent="0.2">
      <c r="A183" s="20">
        <f>+'Rainfall Data'!B182</f>
        <v>41475</v>
      </c>
      <c r="B183" s="11">
        <f>+'Rainfall Data'!C182</f>
        <v>0</v>
      </c>
      <c r="C183" s="23">
        <f t="shared" si="12"/>
        <v>674.6999999999997</v>
      </c>
      <c r="D183" s="25">
        <f t="shared" si="13"/>
        <v>201307</v>
      </c>
    </row>
    <row r="184" spans="1:4" x14ac:dyDescent="0.2">
      <c r="A184" s="20">
        <f>+'Rainfall Data'!B183</f>
        <v>41476</v>
      </c>
      <c r="B184" s="11">
        <f>+'Rainfall Data'!C183</f>
        <v>4.4000000000000004</v>
      </c>
      <c r="C184" s="23">
        <f t="shared" si="12"/>
        <v>679.09999999999968</v>
      </c>
      <c r="D184" s="25">
        <f t="shared" si="13"/>
        <v>201307</v>
      </c>
    </row>
    <row r="185" spans="1:4" x14ac:dyDescent="0.2">
      <c r="A185" s="20">
        <f>+'Rainfall Data'!B184</f>
        <v>41477</v>
      </c>
      <c r="B185" s="11">
        <f>+'Rainfall Data'!C184</f>
        <v>0.9</v>
      </c>
      <c r="C185" s="23">
        <f t="shared" si="12"/>
        <v>679.99999999999966</v>
      </c>
      <c r="D185" s="25">
        <f t="shared" si="13"/>
        <v>201307</v>
      </c>
    </row>
    <row r="186" spans="1:4" x14ac:dyDescent="0.2">
      <c r="A186" s="20">
        <f>+'Rainfall Data'!B185</f>
        <v>41478</v>
      </c>
      <c r="B186" s="11">
        <f>+'Rainfall Data'!C185</f>
        <v>0.4</v>
      </c>
      <c r="C186" s="23">
        <f t="shared" si="12"/>
        <v>680.39999999999964</v>
      </c>
      <c r="D186" s="25">
        <f t="shared" si="13"/>
        <v>201307</v>
      </c>
    </row>
    <row r="187" spans="1:4" x14ac:dyDescent="0.2">
      <c r="A187" s="20">
        <f>+'Rainfall Data'!B186</f>
        <v>41479</v>
      </c>
      <c r="B187" s="11">
        <f>+'Rainfall Data'!C186</f>
        <v>0.4</v>
      </c>
      <c r="C187" s="23">
        <f t="shared" si="12"/>
        <v>680.79999999999961</v>
      </c>
      <c r="D187" s="25">
        <f t="shared" si="13"/>
        <v>201307</v>
      </c>
    </row>
    <row r="188" spans="1:4" x14ac:dyDescent="0.2">
      <c r="A188" s="20">
        <f>+'Rainfall Data'!B187</f>
        <v>41480</v>
      </c>
      <c r="B188" s="11">
        <f>+'Rainfall Data'!C187</f>
        <v>4.8</v>
      </c>
      <c r="C188" s="23">
        <f t="shared" si="12"/>
        <v>685.59999999999957</v>
      </c>
      <c r="D188" s="25">
        <f t="shared" si="13"/>
        <v>201307</v>
      </c>
    </row>
    <row r="189" spans="1:4" x14ac:dyDescent="0.2">
      <c r="A189" s="20">
        <f>+'Rainfall Data'!B188</f>
        <v>41481</v>
      </c>
      <c r="B189" s="11">
        <f>+'Rainfall Data'!C188</f>
        <v>0</v>
      </c>
      <c r="C189" s="23">
        <f t="shared" si="12"/>
        <v>685.59999999999957</v>
      </c>
      <c r="D189" s="25">
        <f t="shared" si="13"/>
        <v>201307</v>
      </c>
    </row>
    <row r="190" spans="1:4" x14ac:dyDescent="0.2">
      <c r="A190" s="20">
        <f>+'Rainfall Data'!B189</f>
        <v>41482</v>
      </c>
      <c r="B190" s="11">
        <f>+'Rainfall Data'!C189</f>
        <v>0.3</v>
      </c>
      <c r="C190" s="23">
        <f t="shared" si="12"/>
        <v>685.89999999999952</v>
      </c>
      <c r="D190" s="25">
        <f t="shared" si="13"/>
        <v>201307</v>
      </c>
    </row>
    <row r="191" spans="1:4" x14ac:dyDescent="0.2">
      <c r="A191" s="20">
        <f>+'Rainfall Data'!B190</f>
        <v>41483</v>
      </c>
      <c r="B191" s="11">
        <f>+'Rainfall Data'!C190</f>
        <v>0</v>
      </c>
      <c r="C191" s="23">
        <f t="shared" si="12"/>
        <v>685.89999999999952</v>
      </c>
      <c r="D191" s="25">
        <f t="shared" si="13"/>
        <v>201307</v>
      </c>
    </row>
    <row r="192" spans="1:4" x14ac:dyDescent="0.2">
      <c r="A192" s="20">
        <f>+'Rainfall Data'!B191</f>
        <v>41484</v>
      </c>
      <c r="B192" s="11">
        <f>+'Rainfall Data'!C191</f>
        <v>148.69999999999999</v>
      </c>
      <c r="C192" s="23">
        <f t="shared" si="12"/>
        <v>834.59999999999945</v>
      </c>
      <c r="D192" s="25">
        <f t="shared" si="13"/>
        <v>201307</v>
      </c>
    </row>
    <row r="193" spans="1:4" x14ac:dyDescent="0.2">
      <c r="A193" s="20">
        <f>+'Rainfall Data'!B192</f>
        <v>41485</v>
      </c>
      <c r="B193" s="11">
        <f>+'Rainfall Data'!C192</f>
        <v>0</v>
      </c>
      <c r="C193" s="23">
        <f t="shared" si="12"/>
        <v>834.59999999999945</v>
      </c>
      <c r="D193" s="25">
        <f t="shared" si="13"/>
        <v>201307</v>
      </c>
    </row>
    <row r="194" spans="1:4" x14ac:dyDescent="0.2">
      <c r="A194" s="20">
        <f>+'Rainfall Data'!B193</f>
        <v>41486</v>
      </c>
      <c r="B194" s="11" t="str">
        <f>+'Rainfall Data'!C193</f>
        <v>nd</v>
      </c>
      <c r="C194" s="23">
        <f t="shared" si="12"/>
        <v>834.59999999999945</v>
      </c>
      <c r="D194" s="25">
        <f t="shared" si="13"/>
        <v>201307</v>
      </c>
    </row>
    <row r="195" spans="1:4" x14ac:dyDescent="0.2">
      <c r="A195" s="20">
        <f>+'Rainfall Data'!B194</f>
        <v>41487</v>
      </c>
      <c r="B195" s="11">
        <f>+'Rainfall Data'!C194</f>
        <v>0</v>
      </c>
      <c r="C195" s="23">
        <f t="shared" si="12"/>
        <v>834.59999999999945</v>
      </c>
      <c r="D195" s="25">
        <f t="shared" si="13"/>
        <v>201308</v>
      </c>
    </row>
    <row r="196" spans="1:4" x14ac:dyDescent="0.2">
      <c r="A196" s="20">
        <f>+'Rainfall Data'!B195</f>
        <v>41488</v>
      </c>
      <c r="B196" s="11">
        <f>+'Rainfall Data'!C195</f>
        <v>0</v>
      </c>
      <c r="C196" s="23">
        <f t="shared" si="12"/>
        <v>834.59999999999945</v>
      </c>
      <c r="D196" s="25">
        <f t="shared" si="13"/>
        <v>201308</v>
      </c>
    </row>
    <row r="197" spans="1:4" x14ac:dyDescent="0.2">
      <c r="A197" s="20">
        <f>+'Rainfall Data'!B196</f>
        <v>41489</v>
      </c>
      <c r="B197" s="11">
        <f>+'Rainfall Data'!C196</f>
        <v>0</v>
      </c>
      <c r="C197" s="23">
        <f t="shared" si="12"/>
        <v>834.59999999999945</v>
      </c>
      <c r="D197" s="25">
        <f t="shared" si="13"/>
        <v>201308</v>
      </c>
    </row>
    <row r="198" spans="1:4" x14ac:dyDescent="0.2">
      <c r="A198" s="20">
        <f>+'Rainfall Data'!B197</f>
        <v>41490</v>
      </c>
      <c r="B198" s="11">
        <f>+'Rainfall Data'!C197</f>
        <v>0</v>
      </c>
      <c r="C198" s="23">
        <f t="shared" si="12"/>
        <v>834.59999999999945</v>
      </c>
      <c r="D198" s="25">
        <f t="shared" si="13"/>
        <v>201308</v>
      </c>
    </row>
    <row r="199" spans="1:4" x14ac:dyDescent="0.2">
      <c r="A199" s="20">
        <f>+'Rainfall Data'!B198</f>
        <v>41491</v>
      </c>
      <c r="B199" s="11">
        <f>+'Rainfall Data'!C198</f>
        <v>0</v>
      </c>
      <c r="C199" s="23">
        <f t="shared" si="12"/>
        <v>834.59999999999945</v>
      </c>
      <c r="D199" s="25">
        <f t="shared" si="13"/>
        <v>201308</v>
      </c>
    </row>
    <row r="200" spans="1:4" x14ac:dyDescent="0.2">
      <c r="A200" s="20">
        <f>+'Rainfall Data'!B199</f>
        <v>41492</v>
      </c>
      <c r="B200" s="11">
        <f>+'Rainfall Data'!C199</f>
        <v>0</v>
      </c>
      <c r="C200" s="23">
        <f t="shared" si="12"/>
        <v>834.59999999999945</v>
      </c>
      <c r="D200" s="25">
        <f t="shared" si="13"/>
        <v>201308</v>
      </c>
    </row>
    <row r="201" spans="1:4" x14ac:dyDescent="0.2">
      <c r="A201" s="20">
        <f>+'Rainfall Data'!B200</f>
        <v>41493</v>
      </c>
      <c r="B201" s="11">
        <f>+'Rainfall Data'!C200</f>
        <v>0</v>
      </c>
      <c r="C201" s="23">
        <f t="shared" si="12"/>
        <v>834.59999999999945</v>
      </c>
      <c r="D201" s="25">
        <f t="shared" si="13"/>
        <v>201308</v>
      </c>
    </row>
    <row r="202" spans="1:4" x14ac:dyDescent="0.2">
      <c r="A202" s="20">
        <f>+'Rainfall Data'!B201</f>
        <v>41494</v>
      </c>
      <c r="B202" s="11">
        <f>+'Rainfall Data'!C201</f>
        <v>0.3</v>
      </c>
      <c r="C202" s="23">
        <f t="shared" si="12"/>
        <v>834.89999999999941</v>
      </c>
      <c r="D202" s="25">
        <f t="shared" si="13"/>
        <v>201308</v>
      </c>
    </row>
    <row r="203" spans="1:4" x14ac:dyDescent="0.2">
      <c r="A203" s="20">
        <f>+'Rainfall Data'!B202</f>
        <v>41495</v>
      </c>
      <c r="B203" s="11">
        <f>+'Rainfall Data'!C202</f>
        <v>0</v>
      </c>
      <c r="C203" s="23">
        <f t="shared" si="12"/>
        <v>834.89999999999941</v>
      </c>
      <c r="D203" s="25">
        <f t="shared" si="13"/>
        <v>201308</v>
      </c>
    </row>
    <row r="204" spans="1:4" x14ac:dyDescent="0.2">
      <c r="A204" s="20">
        <f>+'Rainfall Data'!B203</f>
        <v>41496</v>
      </c>
      <c r="B204" s="11">
        <f>+'Rainfall Data'!C203</f>
        <v>0</v>
      </c>
      <c r="C204" s="23">
        <f t="shared" si="12"/>
        <v>834.89999999999941</v>
      </c>
      <c r="D204" s="25">
        <f t="shared" si="13"/>
        <v>201308</v>
      </c>
    </row>
    <row r="205" spans="1:4" x14ac:dyDescent="0.2">
      <c r="A205" s="20">
        <f>+'Rainfall Data'!B204</f>
        <v>41497</v>
      </c>
      <c r="B205" s="11">
        <f>+'Rainfall Data'!C204</f>
        <v>0</v>
      </c>
      <c r="C205" s="23">
        <f t="shared" si="12"/>
        <v>834.89999999999941</v>
      </c>
      <c r="D205" s="25">
        <f t="shared" si="13"/>
        <v>201308</v>
      </c>
    </row>
    <row r="206" spans="1:4" x14ac:dyDescent="0.2">
      <c r="A206" s="20">
        <f>+'Rainfall Data'!B205</f>
        <v>41498</v>
      </c>
      <c r="B206" s="11">
        <f>+'Rainfall Data'!C205</f>
        <v>0</v>
      </c>
      <c r="C206" s="23">
        <f t="shared" si="12"/>
        <v>834.89999999999941</v>
      </c>
      <c r="D206" s="25">
        <f t="shared" si="13"/>
        <v>201308</v>
      </c>
    </row>
    <row r="207" spans="1:4" x14ac:dyDescent="0.2">
      <c r="A207" s="20">
        <f>+'Rainfall Data'!B206</f>
        <v>41499</v>
      </c>
      <c r="B207" s="11">
        <f>+'Rainfall Data'!C206</f>
        <v>0</v>
      </c>
      <c r="C207" s="23">
        <f t="shared" si="12"/>
        <v>834.89999999999941</v>
      </c>
      <c r="D207" s="25">
        <f t="shared" si="13"/>
        <v>201308</v>
      </c>
    </row>
    <row r="208" spans="1:4" x14ac:dyDescent="0.2">
      <c r="A208" s="20">
        <f>+'Rainfall Data'!B207</f>
        <v>41500</v>
      </c>
      <c r="B208" s="11">
        <f>+'Rainfall Data'!C207</f>
        <v>0</v>
      </c>
      <c r="C208" s="23">
        <f t="shared" si="12"/>
        <v>834.89999999999941</v>
      </c>
      <c r="D208" s="25">
        <f t="shared" si="13"/>
        <v>201308</v>
      </c>
    </row>
    <row r="209" spans="1:4" x14ac:dyDescent="0.2">
      <c r="A209" s="20">
        <f>+'Rainfall Data'!B208</f>
        <v>41501</v>
      </c>
      <c r="B209" s="11">
        <f>+'Rainfall Data'!C208</f>
        <v>0.1</v>
      </c>
      <c r="C209" s="23">
        <f t="shared" si="12"/>
        <v>834.99999999999943</v>
      </c>
      <c r="D209" s="25">
        <f t="shared" si="13"/>
        <v>201308</v>
      </c>
    </row>
    <row r="210" spans="1:4" x14ac:dyDescent="0.2">
      <c r="A210" s="20">
        <f>+'Rainfall Data'!B209</f>
        <v>41502</v>
      </c>
      <c r="B210" s="11">
        <f>+'Rainfall Data'!C209</f>
        <v>0</v>
      </c>
      <c r="C210" s="23">
        <f t="shared" si="12"/>
        <v>834.99999999999943</v>
      </c>
      <c r="D210" s="25">
        <f t="shared" si="13"/>
        <v>201308</v>
      </c>
    </row>
    <row r="211" spans="1:4" x14ac:dyDescent="0.2">
      <c r="A211" s="20">
        <f>+'Rainfall Data'!B210</f>
        <v>41503</v>
      </c>
      <c r="B211" s="11">
        <f>+'Rainfall Data'!C210</f>
        <v>0.3</v>
      </c>
      <c r="C211" s="23">
        <f t="shared" si="12"/>
        <v>835.29999999999939</v>
      </c>
      <c r="D211" s="25">
        <f t="shared" si="13"/>
        <v>201308</v>
      </c>
    </row>
    <row r="212" spans="1:4" x14ac:dyDescent="0.2">
      <c r="A212" s="20">
        <f>+'Rainfall Data'!B211</f>
        <v>41504</v>
      </c>
      <c r="B212" s="11">
        <f>+'Rainfall Data'!C211</f>
        <v>0</v>
      </c>
      <c r="C212" s="23">
        <f t="shared" ref="C212:C261" si="14">IF(B212="nd",0, IF(B212="T",0,B212))+C211</f>
        <v>835.29999999999939</v>
      </c>
      <c r="D212" s="25">
        <f t="shared" si="13"/>
        <v>201308</v>
      </c>
    </row>
    <row r="213" spans="1:4" x14ac:dyDescent="0.2">
      <c r="A213" s="20">
        <f>+'Rainfall Data'!B212</f>
        <v>41505</v>
      </c>
      <c r="B213" s="11">
        <f>+'Rainfall Data'!C212</f>
        <v>0</v>
      </c>
      <c r="C213" s="23">
        <f t="shared" si="14"/>
        <v>835.29999999999939</v>
      </c>
      <c r="D213" s="25">
        <f t="shared" ref="D213:D276" si="15">+YEAR(A213)*100+MONTH(A213)</f>
        <v>201308</v>
      </c>
    </row>
    <row r="214" spans="1:4" x14ac:dyDescent="0.2">
      <c r="A214" s="20">
        <f>+'Rainfall Data'!B213</f>
        <v>41506</v>
      </c>
      <c r="B214" s="11">
        <f>+'Rainfall Data'!C213</f>
        <v>0</v>
      </c>
      <c r="C214" s="23">
        <f t="shared" si="14"/>
        <v>835.29999999999939</v>
      </c>
      <c r="D214" s="25">
        <f t="shared" si="15"/>
        <v>201308</v>
      </c>
    </row>
    <row r="215" spans="1:4" x14ac:dyDescent="0.2">
      <c r="A215" s="20">
        <f>+'Rainfall Data'!B214</f>
        <v>41507</v>
      </c>
      <c r="B215" s="11">
        <f>+'Rainfall Data'!C214</f>
        <v>0</v>
      </c>
      <c r="C215" s="23">
        <f t="shared" si="14"/>
        <v>835.29999999999939</v>
      </c>
      <c r="D215" s="25">
        <f t="shared" si="15"/>
        <v>201308</v>
      </c>
    </row>
    <row r="216" spans="1:4" x14ac:dyDescent="0.2">
      <c r="A216" s="20">
        <f>+'Rainfall Data'!B215</f>
        <v>41508</v>
      </c>
      <c r="B216" s="11">
        <f>+'Rainfall Data'!C215</f>
        <v>0</v>
      </c>
      <c r="C216" s="23">
        <f t="shared" si="14"/>
        <v>835.29999999999939</v>
      </c>
      <c r="D216" s="25">
        <f t="shared" si="15"/>
        <v>201308</v>
      </c>
    </row>
    <row r="217" spans="1:4" x14ac:dyDescent="0.2">
      <c r="A217" s="20">
        <f>+'Rainfall Data'!B216</f>
        <v>41509</v>
      </c>
      <c r="B217" s="11">
        <f>+'Rainfall Data'!C216</f>
        <v>0.4</v>
      </c>
      <c r="C217" s="23">
        <f t="shared" si="14"/>
        <v>835.69999999999936</v>
      </c>
      <c r="D217" s="25">
        <f t="shared" si="15"/>
        <v>201308</v>
      </c>
    </row>
    <row r="218" spans="1:4" x14ac:dyDescent="0.2">
      <c r="A218" s="20">
        <f>+'Rainfall Data'!B217</f>
        <v>41510</v>
      </c>
      <c r="B218" s="11">
        <f>+'Rainfall Data'!C217</f>
        <v>2.1</v>
      </c>
      <c r="C218" s="23">
        <f t="shared" si="14"/>
        <v>837.79999999999939</v>
      </c>
      <c r="D218" s="25">
        <f t="shared" si="15"/>
        <v>201308</v>
      </c>
    </row>
    <row r="219" spans="1:4" x14ac:dyDescent="0.2">
      <c r="A219" s="20">
        <f>+'Rainfall Data'!B218</f>
        <v>41511</v>
      </c>
      <c r="B219" s="11">
        <f>+'Rainfall Data'!C218</f>
        <v>0</v>
      </c>
      <c r="C219" s="23">
        <f t="shared" si="14"/>
        <v>837.79999999999939</v>
      </c>
      <c r="D219" s="25">
        <f t="shared" si="15"/>
        <v>201308</v>
      </c>
    </row>
    <row r="220" spans="1:4" x14ac:dyDescent="0.2">
      <c r="A220" s="20">
        <f>+'Rainfall Data'!B219</f>
        <v>41512</v>
      </c>
      <c r="B220" s="11">
        <f>+'Rainfall Data'!C219</f>
        <v>0</v>
      </c>
      <c r="C220" s="23">
        <f t="shared" si="14"/>
        <v>837.79999999999939</v>
      </c>
      <c r="D220" s="25">
        <f t="shared" si="15"/>
        <v>201308</v>
      </c>
    </row>
    <row r="221" spans="1:4" x14ac:dyDescent="0.2">
      <c r="A221" s="20">
        <f>+'Rainfall Data'!B220</f>
        <v>41513</v>
      </c>
      <c r="B221" s="11">
        <f>+'Rainfall Data'!C220</f>
        <v>5.3</v>
      </c>
      <c r="C221" s="23">
        <f t="shared" si="14"/>
        <v>843.09999999999934</v>
      </c>
      <c r="D221" s="25">
        <f t="shared" si="15"/>
        <v>201308</v>
      </c>
    </row>
    <row r="222" spans="1:4" x14ac:dyDescent="0.2">
      <c r="A222" s="20">
        <f>+'Rainfall Data'!B221</f>
        <v>41514</v>
      </c>
      <c r="B222" s="11">
        <f>+'Rainfall Data'!C221</f>
        <v>2</v>
      </c>
      <c r="C222" s="23">
        <f t="shared" si="14"/>
        <v>845.09999999999934</v>
      </c>
      <c r="D222" s="25">
        <f t="shared" si="15"/>
        <v>201308</v>
      </c>
    </row>
    <row r="223" spans="1:4" x14ac:dyDescent="0.2">
      <c r="A223" s="20">
        <f>+'Rainfall Data'!B222</f>
        <v>41515</v>
      </c>
      <c r="B223" s="11">
        <f>+'Rainfall Data'!C222</f>
        <v>2.2999999999999998</v>
      </c>
      <c r="C223" s="23">
        <f t="shared" si="14"/>
        <v>847.3999999999993</v>
      </c>
      <c r="D223" s="25">
        <f t="shared" si="15"/>
        <v>201308</v>
      </c>
    </row>
    <row r="224" spans="1:4" x14ac:dyDescent="0.2">
      <c r="A224" s="20">
        <f>+'Rainfall Data'!B223</f>
        <v>41516</v>
      </c>
      <c r="B224" s="11">
        <f>+'Rainfall Data'!C223</f>
        <v>0</v>
      </c>
      <c r="C224" s="23">
        <f t="shared" si="14"/>
        <v>847.3999999999993</v>
      </c>
      <c r="D224" s="25">
        <f t="shared" si="15"/>
        <v>201308</v>
      </c>
    </row>
    <row r="225" spans="1:4" x14ac:dyDescent="0.2">
      <c r="A225" s="20">
        <f>+'Rainfall Data'!B224</f>
        <v>41517</v>
      </c>
      <c r="B225" s="11">
        <f>+'Rainfall Data'!C224</f>
        <v>0</v>
      </c>
      <c r="C225" s="23">
        <f t="shared" si="14"/>
        <v>847.3999999999993</v>
      </c>
      <c r="D225" s="25">
        <f t="shared" si="15"/>
        <v>201308</v>
      </c>
    </row>
    <row r="226" spans="1:4" x14ac:dyDescent="0.2">
      <c r="A226" s="20">
        <f>+'Rainfall Data'!B225</f>
        <v>41518</v>
      </c>
      <c r="B226" s="11">
        <f>+'Rainfall Data'!C225</f>
        <v>8.3000000000000007</v>
      </c>
      <c r="C226" s="23">
        <f t="shared" si="14"/>
        <v>855.69999999999925</v>
      </c>
      <c r="D226" s="25">
        <f t="shared" si="15"/>
        <v>201309</v>
      </c>
    </row>
    <row r="227" spans="1:4" x14ac:dyDescent="0.2">
      <c r="A227" s="20">
        <f>+'Rainfall Data'!B226</f>
        <v>41519</v>
      </c>
      <c r="B227" s="11">
        <f>+'Rainfall Data'!C226</f>
        <v>9.3000000000000007</v>
      </c>
      <c r="C227" s="23">
        <f t="shared" si="14"/>
        <v>864.9999999999992</v>
      </c>
      <c r="D227" s="25">
        <f t="shared" si="15"/>
        <v>201309</v>
      </c>
    </row>
    <row r="228" spans="1:4" x14ac:dyDescent="0.2">
      <c r="A228" s="20">
        <f>+'Rainfall Data'!B227</f>
        <v>41520</v>
      </c>
      <c r="B228" s="11">
        <f>+'Rainfall Data'!C227</f>
        <v>9.1999999999999993</v>
      </c>
      <c r="C228" s="23">
        <f t="shared" si="14"/>
        <v>874.19999999999925</v>
      </c>
      <c r="D228" s="25">
        <f t="shared" si="15"/>
        <v>201309</v>
      </c>
    </row>
    <row r="229" spans="1:4" x14ac:dyDescent="0.2">
      <c r="A229" s="20">
        <f>+'Rainfall Data'!B228</f>
        <v>41521</v>
      </c>
      <c r="B229" s="11">
        <f>+'Rainfall Data'!C228</f>
        <v>17.600000000000001</v>
      </c>
      <c r="C229" s="23">
        <f t="shared" si="14"/>
        <v>891.79999999999927</v>
      </c>
      <c r="D229" s="25">
        <f t="shared" si="15"/>
        <v>201309</v>
      </c>
    </row>
    <row r="230" spans="1:4" x14ac:dyDescent="0.2">
      <c r="A230" s="20">
        <f>+'Rainfall Data'!B229</f>
        <v>41522</v>
      </c>
      <c r="B230" s="11">
        <f>+'Rainfall Data'!C229</f>
        <v>2.6</v>
      </c>
      <c r="C230" s="23">
        <f t="shared" si="14"/>
        <v>894.3999999999993</v>
      </c>
      <c r="D230" s="25">
        <f t="shared" si="15"/>
        <v>201309</v>
      </c>
    </row>
    <row r="231" spans="1:4" x14ac:dyDescent="0.2">
      <c r="A231" s="20">
        <f>+'Rainfall Data'!B230</f>
        <v>41523</v>
      </c>
      <c r="B231" s="11">
        <f>+'Rainfall Data'!C230</f>
        <v>0</v>
      </c>
      <c r="C231" s="23">
        <f>IF(B231="nd",0, IF(B231="T",0,B231))</f>
        <v>0</v>
      </c>
      <c r="D231" s="25">
        <f t="shared" si="15"/>
        <v>201309</v>
      </c>
    </row>
    <row r="232" spans="1:4" x14ac:dyDescent="0.2">
      <c r="A232" s="20">
        <f>+'Rainfall Data'!B231</f>
        <v>41524</v>
      </c>
      <c r="B232" s="11">
        <f>+'Rainfall Data'!C231</f>
        <v>0</v>
      </c>
      <c r="C232" s="23">
        <f t="shared" si="14"/>
        <v>0</v>
      </c>
      <c r="D232" s="25">
        <f t="shared" si="15"/>
        <v>201309</v>
      </c>
    </row>
    <row r="233" spans="1:4" x14ac:dyDescent="0.2">
      <c r="A233" s="20">
        <f>+'Rainfall Data'!B232</f>
        <v>41525</v>
      </c>
      <c r="B233" s="11">
        <f>+'Rainfall Data'!C232</f>
        <v>0</v>
      </c>
      <c r="C233" s="23">
        <f t="shared" si="14"/>
        <v>0</v>
      </c>
      <c r="D233" s="25">
        <f t="shared" si="15"/>
        <v>201309</v>
      </c>
    </row>
    <row r="234" spans="1:4" x14ac:dyDescent="0.2">
      <c r="A234" s="20">
        <f>+'Rainfall Data'!B233</f>
        <v>41526</v>
      </c>
      <c r="B234" s="11">
        <f>+'Rainfall Data'!C233</f>
        <v>0</v>
      </c>
      <c r="C234" s="23">
        <f t="shared" si="14"/>
        <v>0</v>
      </c>
      <c r="D234" s="25">
        <f t="shared" si="15"/>
        <v>201309</v>
      </c>
    </row>
    <row r="235" spans="1:4" x14ac:dyDescent="0.2">
      <c r="A235" s="20">
        <f>+'Rainfall Data'!B234</f>
        <v>41527</v>
      </c>
      <c r="B235" s="11">
        <f>+'Rainfall Data'!C234</f>
        <v>0</v>
      </c>
      <c r="C235" s="23">
        <f t="shared" si="14"/>
        <v>0</v>
      </c>
      <c r="D235" s="25">
        <f t="shared" si="15"/>
        <v>201309</v>
      </c>
    </row>
    <row r="236" spans="1:4" x14ac:dyDescent="0.2">
      <c r="A236" s="20">
        <f>+'Rainfall Data'!B235</f>
        <v>41528</v>
      </c>
      <c r="B236" s="11">
        <f>+'Rainfall Data'!C235</f>
        <v>1.5</v>
      </c>
      <c r="C236" s="23">
        <f t="shared" si="14"/>
        <v>1.5</v>
      </c>
      <c r="D236" s="25">
        <f t="shared" si="15"/>
        <v>201309</v>
      </c>
    </row>
    <row r="237" spans="1:4" x14ac:dyDescent="0.2">
      <c r="A237" s="20">
        <f>+'Rainfall Data'!B236</f>
        <v>41529</v>
      </c>
      <c r="B237" s="11">
        <f>+'Rainfall Data'!C236</f>
        <v>0.1</v>
      </c>
      <c r="C237" s="23">
        <f t="shared" si="14"/>
        <v>1.6</v>
      </c>
      <c r="D237" s="25">
        <f t="shared" si="15"/>
        <v>201309</v>
      </c>
    </row>
    <row r="238" spans="1:4" x14ac:dyDescent="0.2">
      <c r="A238" s="20">
        <f>+'Rainfall Data'!B237</f>
        <v>41530</v>
      </c>
      <c r="B238" s="11">
        <f>+'Rainfall Data'!C237</f>
        <v>0</v>
      </c>
      <c r="C238" s="23">
        <f t="shared" si="14"/>
        <v>1.6</v>
      </c>
      <c r="D238" s="25">
        <f t="shared" si="15"/>
        <v>201309</v>
      </c>
    </row>
    <row r="239" spans="1:4" x14ac:dyDescent="0.2">
      <c r="A239" s="20">
        <f>+'Rainfall Data'!B238</f>
        <v>41531</v>
      </c>
      <c r="B239" s="11">
        <f>+'Rainfall Data'!C238</f>
        <v>0</v>
      </c>
      <c r="C239" s="23">
        <f t="shared" si="14"/>
        <v>1.6</v>
      </c>
      <c r="D239" s="25">
        <f t="shared" si="15"/>
        <v>201309</v>
      </c>
    </row>
    <row r="240" spans="1:4" x14ac:dyDescent="0.2">
      <c r="A240" s="20">
        <f>+'Rainfall Data'!B239</f>
        <v>41532</v>
      </c>
      <c r="B240" s="11">
        <f>+'Rainfall Data'!C239</f>
        <v>0</v>
      </c>
      <c r="C240" s="23">
        <f t="shared" si="14"/>
        <v>1.6</v>
      </c>
      <c r="D240" s="25">
        <f t="shared" si="15"/>
        <v>201309</v>
      </c>
    </row>
    <row r="241" spans="1:9" x14ac:dyDescent="0.2">
      <c r="A241" s="20">
        <f>+'Rainfall Data'!B240</f>
        <v>41533</v>
      </c>
      <c r="B241" s="11">
        <f>+'Rainfall Data'!C240</f>
        <v>0</v>
      </c>
      <c r="C241" s="23">
        <f t="shared" si="14"/>
        <v>1.6</v>
      </c>
      <c r="D241" s="25">
        <f t="shared" si="15"/>
        <v>201309</v>
      </c>
    </row>
    <row r="242" spans="1:9" x14ac:dyDescent="0.2">
      <c r="A242" s="20">
        <f>+'Rainfall Data'!B241</f>
        <v>41534</v>
      </c>
      <c r="B242" s="11">
        <f>+'Rainfall Data'!C241</f>
        <v>0</v>
      </c>
      <c r="C242" s="23">
        <f t="shared" si="14"/>
        <v>1.6</v>
      </c>
      <c r="D242" s="25">
        <f t="shared" si="15"/>
        <v>201309</v>
      </c>
    </row>
    <row r="243" spans="1:9" x14ac:dyDescent="0.2">
      <c r="A243" s="20">
        <f>+'Rainfall Data'!B242</f>
        <v>41535</v>
      </c>
      <c r="B243" s="11">
        <f>+'Rainfall Data'!C242</f>
        <v>0.1</v>
      </c>
      <c r="C243" s="23">
        <f t="shared" si="14"/>
        <v>1.7000000000000002</v>
      </c>
      <c r="D243" s="25">
        <f t="shared" si="15"/>
        <v>201309</v>
      </c>
      <c r="I243" s="23"/>
    </row>
    <row r="244" spans="1:9" x14ac:dyDescent="0.2">
      <c r="A244" s="20">
        <f>+'Rainfall Data'!B243</f>
        <v>41536</v>
      </c>
      <c r="B244" s="11">
        <f>+'Rainfall Data'!C243</f>
        <v>0.1</v>
      </c>
      <c r="C244" s="23">
        <f t="shared" si="14"/>
        <v>1.8000000000000003</v>
      </c>
      <c r="D244" s="25">
        <f t="shared" si="15"/>
        <v>201309</v>
      </c>
    </row>
    <row r="245" spans="1:9" x14ac:dyDescent="0.2">
      <c r="A245" s="20">
        <f>+'Rainfall Data'!B244</f>
        <v>41537</v>
      </c>
      <c r="B245" s="11">
        <f>+'Rainfall Data'!C244</f>
        <v>0.2</v>
      </c>
      <c r="C245" s="23">
        <f t="shared" si="14"/>
        <v>2.0000000000000004</v>
      </c>
      <c r="D245" s="25">
        <f t="shared" si="15"/>
        <v>201309</v>
      </c>
    </row>
    <row r="246" spans="1:9" x14ac:dyDescent="0.2">
      <c r="A246" s="20">
        <f>+'Rainfall Data'!B245</f>
        <v>41538</v>
      </c>
      <c r="B246" s="11">
        <f>+'Rainfall Data'!C245</f>
        <v>0</v>
      </c>
      <c r="C246" s="23">
        <f t="shared" si="14"/>
        <v>2.0000000000000004</v>
      </c>
      <c r="D246" s="25">
        <f t="shared" si="15"/>
        <v>201309</v>
      </c>
    </row>
    <row r="247" spans="1:9" x14ac:dyDescent="0.2">
      <c r="A247" s="20">
        <f>+'Rainfall Data'!B246</f>
        <v>41539</v>
      </c>
      <c r="B247" s="11">
        <f>+'Rainfall Data'!C246</f>
        <v>3.8</v>
      </c>
      <c r="C247" s="23">
        <f t="shared" si="14"/>
        <v>5.8000000000000007</v>
      </c>
      <c r="D247" s="25">
        <f t="shared" si="15"/>
        <v>201309</v>
      </c>
    </row>
    <row r="248" spans="1:9" x14ac:dyDescent="0.2">
      <c r="A248" s="20">
        <f>+'Rainfall Data'!B247</f>
        <v>41540</v>
      </c>
      <c r="B248" s="11">
        <f>+'Rainfall Data'!C247</f>
        <v>0</v>
      </c>
      <c r="C248" s="23">
        <f t="shared" si="14"/>
        <v>5.8000000000000007</v>
      </c>
      <c r="D248" s="25">
        <f t="shared" si="15"/>
        <v>201309</v>
      </c>
    </row>
    <row r="249" spans="1:9" x14ac:dyDescent="0.2">
      <c r="A249" s="20">
        <f>+'Rainfall Data'!B248</f>
        <v>41541</v>
      </c>
      <c r="B249" s="11">
        <f>+'Rainfall Data'!C248</f>
        <v>0</v>
      </c>
      <c r="C249" s="23">
        <f t="shared" si="14"/>
        <v>5.8000000000000007</v>
      </c>
      <c r="D249" s="25">
        <f t="shared" si="15"/>
        <v>201309</v>
      </c>
    </row>
    <row r="250" spans="1:9" x14ac:dyDescent="0.2">
      <c r="A250" s="20">
        <f>+'Rainfall Data'!B249</f>
        <v>41542</v>
      </c>
      <c r="B250" s="11">
        <f>+'Rainfall Data'!C249</f>
        <v>0.8</v>
      </c>
      <c r="C250" s="23">
        <f t="shared" si="14"/>
        <v>6.6000000000000005</v>
      </c>
      <c r="D250" s="25">
        <f t="shared" si="15"/>
        <v>201309</v>
      </c>
    </row>
    <row r="251" spans="1:9" x14ac:dyDescent="0.2">
      <c r="A251" s="20">
        <f>+'Rainfall Data'!B250</f>
        <v>41543</v>
      </c>
      <c r="B251" s="11">
        <f>+'Rainfall Data'!C250</f>
        <v>0</v>
      </c>
      <c r="C251" s="23">
        <f t="shared" si="14"/>
        <v>6.6000000000000005</v>
      </c>
      <c r="D251" s="25">
        <f t="shared" si="15"/>
        <v>201309</v>
      </c>
    </row>
    <row r="252" spans="1:9" x14ac:dyDescent="0.2">
      <c r="A252" s="20">
        <f>+'Rainfall Data'!B251</f>
        <v>41544</v>
      </c>
      <c r="B252" s="11">
        <f>+'Rainfall Data'!C251</f>
        <v>5.3</v>
      </c>
      <c r="C252" s="23">
        <f t="shared" si="14"/>
        <v>11.9</v>
      </c>
      <c r="D252" s="25">
        <f t="shared" si="15"/>
        <v>201309</v>
      </c>
    </row>
    <row r="253" spans="1:9" x14ac:dyDescent="0.2">
      <c r="A253" s="20">
        <f>+'Rainfall Data'!B252</f>
        <v>41545</v>
      </c>
      <c r="B253" s="11">
        <f>+'Rainfall Data'!C252</f>
        <v>0</v>
      </c>
      <c r="C253" s="23">
        <f t="shared" si="14"/>
        <v>11.9</v>
      </c>
      <c r="D253" s="25">
        <f t="shared" si="15"/>
        <v>201309</v>
      </c>
    </row>
    <row r="254" spans="1:9" x14ac:dyDescent="0.2">
      <c r="A254" s="20">
        <f>+'Rainfall Data'!B253</f>
        <v>41546</v>
      </c>
      <c r="B254" s="11">
        <f>+'Rainfall Data'!C253</f>
        <v>3</v>
      </c>
      <c r="C254" s="23">
        <f t="shared" si="14"/>
        <v>14.9</v>
      </c>
      <c r="D254" s="25">
        <f t="shared" si="15"/>
        <v>201309</v>
      </c>
    </row>
    <row r="255" spans="1:9" x14ac:dyDescent="0.2">
      <c r="A255" s="20">
        <f>+'Rainfall Data'!B254</f>
        <v>41547</v>
      </c>
      <c r="B255" s="11">
        <f>+'Rainfall Data'!C254</f>
        <v>0</v>
      </c>
      <c r="C255" s="23">
        <f t="shared" si="14"/>
        <v>14.9</v>
      </c>
      <c r="D255" s="25">
        <f t="shared" si="15"/>
        <v>201309</v>
      </c>
    </row>
    <row r="256" spans="1:9" x14ac:dyDescent="0.2">
      <c r="A256" s="20">
        <f>+'Rainfall Data'!B255</f>
        <v>41548</v>
      </c>
      <c r="B256" s="11">
        <f>+'Rainfall Data'!C255</f>
        <v>0</v>
      </c>
      <c r="C256" s="23">
        <f t="shared" si="14"/>
        <v>14.9</v>
      </c>
      <c r="D256" s="25">
        <f t="shared" si="15"/>
        <v>201310</v>
      </c>
    </row>
    <row r="257" spans="1:4" x14ac:dyDescent="0.2">
      <c r="A257" s="20">
        <f>+'Rainfall Data'!B256</f>
        <v>41549</v>
      </c>
      <c r="B257" s="11">
        <f>+'Rainfall Data'!C256</f>
        <v>0</v>
      </c>
      <c r="C257" s="23">
        <f t="shared" si="14"/>
        <v>14.9</v>
      </c>
      <c r="D257" s="25">
        <f t="shared" si="15"/>
        <v>201310</v>
      </c>
    </row>
    <row r="258" spans="1:4" x14ac:dyDescent="0.2">
      <c r="A258" s="20">
        <f>+'Rainfall Data'!B257</f>
        <v>41550</v>
      </c>
      <c r="B258" s="11">
        <f>+'Rainfall Data'!C257</f>
        <v>3.2</v>
      </c>
      <c r="C258" s="23">
        <f t="shared" si="14"/>
        <v>18.100000000000001</v>
      </c>
      <c r="D258" s="25">
        <f t="shared" si="15"/>
        <v>201310</v>
      </c>
    </row>
    <row r="259" spans="1:4" x14ac:dyDescent="0.2">
      <c r="A259" s="20">
        <f>+'Rainfall Data'!B258</f>
        <v>41551</v>
      </c>
      <c r="B259" s="11">
        <f>+'Rainfall Data'!C258</f>
        <v>0.1</v>
      </c>
      <c r="C259" s="23">
        <f t="shared" si="14"/>
        <v>18.200000000000003</v>
      </c>
      <c r="D259" s="25">
        <f t="shared" si="15"/>
        <v>201310</v>
      </c>
    </row>
    <row r="260" spans="1:4" x14ac:dyDescent="0.2">
      <c r="A260" s="20">
        <f>+'Rainfall Data'!B259</f>
        <v>41552</v>
      </c>
      <c r="B260" s="11">
        <f>+'Rainfall Data'!C259</f>
        <v>0.1</v>
      </c>
      <c r="C260" s="23">
        <f t="shared" si="14"/>
        <v>18.300000000000004</v>
      </c>
      <c r="D260" s="25">
        <f t="shared" si="15"/>
        <v>201310</v>
      </c>
    </row>
    <row r="261" spans="1:4" x14ac:dyDescent="0.2">
      <c r="A261" s="20">
        <f>+'Rainfall Data'!B260</f>
        <v>41553</v>
      </c>
      <c r="B261" s="11">
        <f>+'Rainfall Data'!C260</f>
        <v>0.3</v>
      </c>
      <c r="C261" s="23">
        <f t="shared" si="14"/>
        <v>18.600000000000005</v>
      </c>
      <c r="D261" s="25">
        <f t="shared" si="15"/>
        <v>201310</v>
      </c>
    </row>
    <row r="262" spans="1:4" x14ac:dyDescent="0.2">
      <c r="A262" s="20">
        <f>+'Rainfall Data'!B261</f>
        <v>41554</v>
      </c>
      <c r="B262" s="11">
        <f>+'Rainfall Data'!C261</f>
        <v>0</v>
      </c>
      <c r="C262" s="23">
        <f t="shared" ref="C262:C307" si="16">IF(B262="nd",0, IF(B262="T",0,B262))+C261</f>
        <v>18.600000000000005</v>
      </c>
      <c r="D262" s="25">
        <f t="shared" si="15"/>
        <v>201310</v>
      </c>
    </row>
    <row r="263" spans="1:4" x14ac:dyDescent="0.2">
      <c r="A263" s="20">
        <f>+'Rainfall Data'!B262</f>
        <v>41555</v>
      </c>
      <c r="B263" s="11">
        <f>+'Rainfall Data'!C262</f>
        <v>1.5</v>
      </c>
      <c r="C263" s="23">
        <f t="shared" si="16"/>
        <v>20.100000000000005</v>
      </c>
      <c r="D263" s="25">
        <f t="shared" si="15"/>
        <v>201310</v>
      </c>
    </row>
    <row r="264" spans="1:4" x14ac:dyDescent="0.2">
      <c r="A264" s="20">
        <f>+'Rainfall Data'!B263</f>
        <v>41556</v>
      </c>
      <c r="B264" s="11">
        <f>+'Rainfall Data'!C263</f>
        <v>1.1000000000000001</v>
      </c>
      <c r="C264" s="23">
        <f t="shared" si="16"/>
        <v>21.200000000000006</v>
      </c>
      <c r="D264" s="25">
        <f t="shared" si="15"/>
        <v>201310</v>
      </c>
    </row>
    <row r="265" spans="1:4" x14ac:dyDescent="0.2">
      <c r="A265" s="20">
        <f>+'Rainfall Data'!B264</f>
        <v>41557</v>
      </c>
      <c r="B265" s="11">
        <f>+'Rainfall Data'!C264</f>
        <v>0</v>
      </c>
      <c r="C265" s="23">
        <f t="shared" si="16"/>
        <v>21.200000000000006</v>
      </c>
      <c r="D265" s="25">
        <f t="shared" si="15"/>
        <v>201310</v>
      </c>
    </row>
    <row r="266" spans="1:4" x14ac:dyDescent="0.2">
      <c r="A266" s="20">
        <f>+'Rainfall Data'!B265</f>
        <v>41558</v>
      </c>
      <c r="B266" s="11">
        <f>+'Rainfall Data'!C265</f>
        <v>0</v>
      </c>
      <c r="C266" s="23">
        <f t="shared" si="16"/>
        <v>21.200000000000006</v>
      </c>
      <c r="D266" s="25">
        <f t="shared" si="15"/>
        <v>201310</v>
      </c>
    </row>
    <row r="267" spans="1:4" x14ac:dyDescent="0.2">
      <c r="A267" s="20">
        <f>+'Rainfall Data'!B266</f>
        <v>41559</v>
      </c>
      <c r="B267" s="11">
        <f>+'Rainfall Data'!C266</f>
        <v>0.6</v>
      </c>
      <c r="C267" s="23">
        <f t="shared" si="16"/>
        <v>21.800000000000008</v>
      </c>
      <c r="D267" s="25">
        <f t="shared" si="15"/>
        <v>201310</v>
      </c>
    </row>
    <row r="268" spans="1:4" x14ac:dyDescent="0.2">
      <c r="A268" s="20">
        <f>+'Rainfall Data'!B267</f>
        <v>41560</v>
      </c>
      <c r="B268" s="11">
        <f>+'Rainfall Data'!C267</f>
        <v>3.1</v>
      </c>
      <c r="C268" s="23">
        <f t="shared" si="16"/>
        <v>24.900000000000009</v>
      </c>
      <c r="D268" s="25">
        <f t="shared" si="15"/>
        <v>201310</v>
      </c>
    </row>
    <row r="269" spans="1:4" x14ac:dyDescent="0.2">
      <c r="A269" s="20">
        <f>+'Rainfall Data'!B268</f>
        <v>41561</v>
      </c>
      <c r="B269" s="11">
        <f>+'Rainfall Data'!C268</f>
        <v>1.6</v>
      </c>
      <c r="C269" s="23">
        <f t="shared" si="16"/>
        <v>26.500000000000011</v>
      </c>
      <c r="D269" s="25">
        <f t="shared" si="15"/>
        <v>201310</v>
      </c>
    </row>
    <row r="270" spans="1:4" x14ac:dyDescent="0.2">
      <c r="A270" s="20">
        <f>+'Rainfall Data'!B269</f>
        <v>41562</v>
      </c>
      <c r="B270" s="11">
        <f>+'Rainfall Data'!C269</f>
        <v>1.2</v>
      </c>
      <c r="C270" s="23">
        <f t="shared" si="16"/>
        <v>27.70000000000001</v>
      </c>
      <c r="D270" s="25">
        <f t="shared" si="15"/>
        <v>201310</v>
      </c>
    </row>
    <row r="271" spans="1:4" x14ac:dyDescent="0.2">
      <c r="A271" s="20">
        <f>+'Rainfall Data'!B270</f>
        <v>41563</v>
      </c>
      <c r="B271" s="11">
        <f>+'Rainfall Data'!C270</f>
        <v>0.5</v>
      </c>
      <c r="C271" s="23">
        <f t="shared" si="16"/>
        <v>28.20000000000001</v>
      </c>
      <c r="D271" s="25">
        <f t="shared" si="15"/>
        <v>201310</v>
      </c>
    </row>
    <row r="272" spans="1:4" x14ac:dyDescent="0.2">
      <c r="A272" s="20">
        <f>+'Rainfall Data'!B271</f>
        <v>41564</v>
      </c>
      <c r="B272" s="11">
        <f>+'Rainfall Data'!C271</f>
        <v>0.3</v>
      </c>
      <c r="C272" s="23">
        <f t="shared" si="16"/>
        <v>28.500000000000011</v>
      </c>
      <c r="D272" s="25">
        <f t="shared" si="15"/>
        <v>201310</v>
      </c>
    </row>
    <row r="273" spans="1:4" x14ac:dyDescent="0.2">
      <c r="A273" s="20">
        <f>+'Rainfall Data'!B272</f>
        <v>41565</v>
      </c>
      <c r="B273" s="11">
        <f>+'Rainfall Data'!C272</f>
        <v>0.4</v>
      </c>
      <c r="C273" s="23">
        <f t="shared" si="16"/>
        <v>28.900000000000009</v>
      </c>
      <c r="D273" s="25">
        <f t="shared" si="15"/>
        <v>201310</v>
      </c>
    </row>
    <row r="274" spans="1:4" x14ac:dyDescent="0.2">
      <c r="A274" s="20">
        <f>+'Rainfall Data'!B273</f>
        <v>41566</v>
      </c>
      <c r="B274" s="11">
        <f>+'Rainfall Data'!C273</f>
        <v>0</v>
      </c>
      <c r="C274" s="23">
        <f t="shared" si="16"/>
        <v>28.900000000000009</v>
      </c>
      <c r="D274" s="25">
        <f t="shared" si="15"/>
        <v>201310</v>
      </c>
    </row>
    <row r="275" spans="1:4" x14ac:dyDescent="0.2">
      <c r="A275" s="20">
        <f>+'Rainfall Data'!B274</f>
        <v>41567</v>
      </c>
      <c r="B275" s="11">
        <f>+'Rainfall Data'!C274</f>
        <v>0.9</v>
      </c>
      <c r="C275" s="23">
        <f t="shared" si="16"/>
        <v>29.800000000000008</v>
      </c>
      <c r="D275" s="25">
        <f t="shared" si="15"/>
        <v>201310</v>
      </c>
    </row>
    <row r="276" spans="1:4" x14ac:dyDescent="0.2">
      <c r="A276" s="20">
        <f>+'Rainfall Data'!B275</f>
        <v>41568</v>
      </c>
      <c r="B276" s="11">
        <f>+'Rainfall Data'!C275</f>
        <v>1.5</v>
      </c>
      <c r="C276" s="23">
        <f t="shared" si="16"/>
        <v>31.300000000000008</v>
      </c>
      <c r="D276" s="25">
        <f t="shared" si="15"/>
        <v>201310</v>
      </c>
    </row>
    <row r="277" spans="1:4" x14ac:dyDescent="0.2">
      <c r="A277" s="20">
        <f>+'Rainfall Data'!B276</f>
        <v>41569</v>
      </c>
      <c r="B277" s="11">
        <f>+'Rainfall Data'!C276</f>
        <v>0.1</v>
      </c>
      <c r="C277" s="23">
        <f t="shared" si="16"/>
        <v>31.400000000000009</v>
      </c>
      <c r="D277" s="25">
        <f t="shared" ref="D277:D340" si="17">+YEAR(A277)*100+MONTH(A277)</f>
        <v>201310</v>
      </c>
    </row>
    <row r="278" spans="1:4" x14ac:dyDescent="0.2">
      <c r="A278" s="20">
        <f>+'Rainfall Data'!B277</f>
        <v>41570</v>
      </c>
      <c r="B278" s="11">
        <f>+'Rainfall Data'!C277</f>
        <v>0</v>
      </c>
      <c r="C278" s="23">
        <f t="shared" si="16"/>
        <v>31.400000000000009</v>
      </c>
      <c r="D278" s="25">
        <f t="shared" si="17"/>
        <v>201310</v>
      </c>
    </row>
    <row r="279" spans="1:4" x14ac:dyDescent="0.2">
      <c r="A279" s="20">
        <f>+'Rainfall Data'!B278</f>
        <v>41571</v>
      </c>
      <c r="B279" s="11">
        <f>+'Rainfall Data'!C278</f>
        <v>0.4</v>
      </c>
      <c r="C279" s="23">
        <f t="shared" si="16"/>
        <v>31.800000000000008</v>
      </c>
      <c r="D279" s="25">
        <f t="shared" si="17"/>
        <v>201310</v>
      </c>
    </row>
    <row r="280" spans="1:4" x14ac:dyDescent="0.2">
      <c r="A280" s="20">
        <f>+'Rainfall Data'!B279</f>
        <v>41572</v>
      </c>
      <c r="B280" s="11">
        <f>+'Rainfall Data'!C279</f>
        <v>0.3</v>
      </c>
      <c r="C280" s="23">
        <f t="shared" si="16"/>
        <v>32.100000000000009</v>
      </c>
      <c r="D280" s="25">
        <f t="shared" si="17"/>
        <v>201310</v>
      </c>
    </row>
    <row r="281" spans="1:4" x14ac:dyDescent="0.2">
      <c r="A281" s="20">
        <f>+'Rainfall Data'!B280</f>
        <v>41573</v>
      </c>
      <c r="B281" s="11">
        <f>+'Rainfall Data'!C280</f>
        <v>1.8</v>
      </c>
      <c r="C281" s="23">
        <f t="shared" si="16"/>
        <v>33.900000000000006</v>
      </c>
      <c r="D281" s="25">
        <f t="shared" si="17"/>
        <v>201310</v>
      </c>
    </row>
    <row r="282" spans="1:4" x14ac:dyDescent="0.2">
      <c r="A282" s="20">
        <f>+'Rainfall Data'!B281</f>
        <v>41574</v>
      </c>
      <c r="B282" s="11">
        <f>+'Rainfall Data'!C281</f>
        <v>0</v>
      </c>
      <c r="C282" s="23">
        <f t="shared" si="16"/>
        <v>33.900000000000006</v>
      </c>
      <c r="D282" s="25">
        <f t="shared" si="17"/>
        <v>201310</v>
      </c>
    </row>
    <row r="283" spans="1:4" x14ac:dyDescent="0.2">
      <c r="A283" s="20">
        <f>+'Rainfall Data'!B282</f>
        <v>41575</v>
      </c>
      <c r="B283" s="11">
        <f>+'Rainfall Data'!C282</f>
        <v>0</v>
      </c>
      <c r="C283" s="23">
        <f t="shared" si="16"/>
        <v>33.900000000000006</v>
      </c>
      <c r="D283" s="25">
        <f t="shared" si="17"/>
        <v>201310</v>
      </c>
    </row>
    <row r="284" spans="1:4" x14ac:dyDescent="0.2">
      <c r="A284" s="20">
        <f>+'Rainfall Data'!B283</f>
        <v>41576</v>
      </c>
      <c r="B284" s="11">
        <f>+'Rainfall Data'!C283</f>
        <v>0.8</v>
      </c>
      <c r="C284" s="23">
        <f t="shared" si="16"/>
        <v>34.700000000000003</v>
      </c>
      <c r="D284" s="25">
        <f t="shared" si="17"/>
        <v>201310</v>
      </c>
    </row>
    <row r="285" spans="1:4" x14ac:dyDescent="0.2">
      <c r="A285" s="20">
        <f>+'Rainfall Data'!B284</f>
        <v>41577</v>
      </c>
      <c r="B285" s="11">
        <f>+'Rainfall Data'!C284</f>
        <v>0.1</v>
      </c>
      <c r="C285" s="23">
        <f t="shared" si="16"/>
        <v>34.800000000000004</v>
      </c>
      <c r="D285" s="25">
        <f t="shared" si="17"/>
        <v>201310</v>
      </c>
    </row>
    <row r="286" spans="1:4" x14ac:dyDescent="0.2">
      <c r="A286" s="20">
        <f>+'Rainfall Data'!B285</f>
        <v>41578</v>
      </c>
      <c r="B286" s="11">
        <f>+'Rainfall Data'!C285</f>
        <v>0.3</v>
      </c>
      <c r="C286" s="23">
        <f t="shared" si="16"/>
        <v>35.1</v>
      </c>
      <c r="D286" s="25">
        <f t="shared" si="17"/>
        <v>201310</v>
      </c>
    </row>
    <row r="287" spans="1:4" x14ac:dyDescent="0.2">
      <c r="A287" s="20">
        <f>+'Rainfall Data'!B286</f>
        <v>41579</v>
      </c>
      <c r="B287" s="11">
        <f>+'Rainfall Data'!C286</f>
        <v>0</v>
      </c>
      <c r="C287" s="23">
        <f t="shared" si="16"/>
        <v>35.1</v>
      </c>
      <c r="D287" s="25">
        <f t="shared" si="17"/>
        <v>201311</v>
      </c>
    </row>
    <row r="288" spans="1:4" x14ac:dyDescent="0.2">
      <c r="A288" s="20">
        <f>+'Rainfall Data'!B287</f>
        <v>41580</v>
      </c>
      <c r="B288" s="11">
        <f>+'Rainfall Data'!C287</f>
        <v>0.2</v>
      </c>
      <c r="C288" s="23">
        <f t="shared" si="16"/>
        <v>35.300000000000004</v>
      </c>
      <c r="D288" s="25">
        <f t="shared" si="17"/>
        <v>201311</v>
      </c>
    </row>
    <row r="289" spans="1:4" x14ac:dyDescent="0.2">
      <c r="A289" s="20">
        <f>+'Rainfall Data'!B288</f>
        <v>41581</v>
      </c>
      <c r="B289" s="11">
        <f>+'Rainfall Data'!C288</f>
        <v>0</v>
      </c>
      <c r="C289" s="23">
        <f t="shared" si="16"/>
        <v>35.300000000000004</v>
      </c>
      <c r="D289" s="25">
        <f t="shared" si="17"/>
        <v>201311</v>
      </c>
    </row>
    <row r="290" spans="1:4" x14ac:dyDescent="0.2">
      <c r="A290" s="20">
        <f>+'Rainfall Data'!B289</f>
        <v>41582</v>
      </c>
      <c r="B290" s="11">
        <f>+'Rainfall Data'!C289</f>
        <v>5</v>
      </c>
      <c r="C290" s="23">
        <f t="shared" si="16"/>
        <v>40.300000000000004</v>
      </c>
      <c r="D290" s="25">
        <f t="shared" si="17"/>
        <v>201311</v>
      </c>
    </row>
    <row r="291" spans="1:4" x14ac:dyDescent="0.2">
      <c r="A291" s="20">
        <f>+'Rainfall Data'!B290</f>
        <v>41583</v>
      </c>
      <c r="B291" s="11">
        <f>+'Rainfall Data'!C290</f>
        <v>0</v>
      </c>
      <c r="C291" s="23">
        <f t="shared" si="16"/>
        <v>40.300000000000004</v>
      </c>
      <c r="D291" s="25">
        <f t="shared" si="17"/>
        <v>201311</v>
      </c>
    </row>
    <row r="292" spans="1:4" x14ac:dyDescent="0.2">
      <c r="A292" s="20">
        <f>+'Rainfall Data'!B291</f>
        <v>41584</v>
      </c>
      <c r="B292" s="11">
        <f>+'Rainfall Data'!C291</f>
        <v>0</v>
      </c>
      <c r="C292" s="23">
        <f t="shared" si="16"/>
        <v>40.300000000000004</v>
      </c>
      <c r="D292" s="25">
        <f t="shared" si="17"/>
        <v>201311</v>
      </c>
    </row>
    <row r="293" spans="1:4" x14ac:dyDescent="0.2">
      <c r="A293" s="20">
        <f>+'Rainfall Data'!B292</f>
        <v>41585</v>
      </c>
      <c r="B293" s="11">
        <f>+'Rainfall Data'!C292</f>
        <v>0</v>
      </c>
      <c r="C293" s="23">
        <f t="shared" si="16"/>
        <v>40.300000000000004</v>
      </c>
      <c r="D293" s="25">
        <f t="shared" si="17"/>
        <v>201311</v>
      </c>
    </row>
    <row r="294" spans="1:4" x14ac:dyDescent="0.2">
      <c r="A294" s="20">
        <f>+'Rainfall Data'!B293</f>
        <v>41586</v>
      </c>
      <c r="B294" s="11">
        <f>+'Rainfall Data'!C293</f>
        <v>0</v>
      </c>
      <c r="C294" s="23">
        <f t="shared" si="16"/>
        <v>40.300000000000004</v>
      </c>
      <c r="D294" s="25">
        <f t="shared" si="17"/>
        <v>201311</v>
      </c>
    </row>
    <row r="295" spans="1:4" x14ac:dyDescent="0.2">
      <c r="A295" s="20">
        <f>+'Rainfall Data'!B294</f>
        <v>41587</v>
      </c>
      <c r="B295" s="11">
        <f>+'Rainfall Data'!C294</f>
        <v>0</v>
      </c>
      <c r="C295" s="23">
        <f t="shared" si="16"/>
        <v>40.300000000000004</v>
      </c>
      <c r="D295" s="25">
        <f t="shared" si="17"/>
        <v>201311</v>
      </c>
    </row>
    <row r="296" spans="1:4" x14ac:dyDescent="0.2">
      <c r="A296" s="20">
        <f>+'Rainfall Data'!B295</f>
        <v>41588</v>
      </c>
      <c r="B296" s="11">
        <f>+'Rainfall Data'!C295</f>
        <v>0.3</v>
      </c>
      <c r="C296" s="23">
        <f t="shared" si="16"/>
        <v>40.6</v>
      </c>
      <c r="D296" s="25">
        <f t="shared" si="17"/>
        <v>201311</v>
      </c>
    </row>
    <row r="297" spans="1:4" x14ac:dyDescent="0.2">
      <c r="A297" s="20">
        <f>+'Rainfall Data'!B296</f>
        <v>41589</v>
      </c>
      <c r="B297" s="11">
        <f>+'Rainfall Data'!C296</f>
        <v>0</v>
      </c>
      <c r="C297" s="23">
        <f t="shared" si="16"/>
        <v>40.6</v>
      </c>
      <c r="D297" s="25">
        <f t="shared" si="17"/>
        <v>201311</v>
      </c>
    </row>
    <row r="298" spans="1:4" x14ac:dyDescent="0.2">
      <c r="A298" s="20">
        <f>+'Rainfall Data'!B297</f>
        <v>41590</v>
      </c>
      <c r="B298" s="11">
        <f>+'Rainfall Data'!C297</f>
        <v>0</v>
      </c>
      <c r="C298" s="23">
        <f t="shared" si="16"/>
        <v>40.6</v>
      </c>
      <c r="D298" s="25">
        <f t="shared" si="17"/>
        <v>201311</v>
      </c>
    </row>
    <row r="299" spans="1:4" x14ac:dyDescent="0.2">
      <c r="A299" s="20">
        <f>+'Rainfall Data'!B298</f>
        <v>41591</v>
      </c>
      <c r="B299" s="11">
        <f>+'Rainfall Data'!C298</f>
        <v>0.6</v>
      </c>
      <c r="C299" s="23">
        <f t="shared" si="16"/>
        <v>41.2</v>
      </c>
      <c r="D299" s="25">
        <f t="shared" si="17"/>
        <v>201311</v>
      </c>
    </row>
    <row r="300" spans="1:4" x14ac:dyDescent="0.2">
      <c r="A300" s="20">
        <f>+'Rainfall Data'!B299</f>
        <v>41592</v>
      </c>
      <c r="B300" s="11">
        <f>+'Rainfall Data'!C299</f>
        <v>0</v>
      </c>
      <c r="C300" s="23">
        <f t="shared" si="16"/>
        <v>41.2</v>
      </c>
      <c r="D300" s="25">
        <f t="shared" si="17"/>
        <v>201311</v>
      </c>
    </row>
    <row r="301" spans="1:4" x14ac:dyDescent="0.2">
      <c r="A301" s="20">
        <f>+'Rainfall Data'!B300</f>
        <v>41593</v>
      </c>
      <c r="B301" s="11">
        <f>+'Rainfall Data'!C300</f>
        <v>0</v>
      </c>
      <c r="C301" s="23">
        <f t="shared" si="16"/>
        <v>41.2</v>
      </c>
      <c r="D301" s="25">
        <f t="shared" si="17"/>
        <v>201311</v>
      </c>
    </row>
    <row r="302" spans="1:4" x14ac:dyDescent="0.2">
      <c r="A302" s="20">
        <f>+'Rainfall Data'!B301</f>
        <v>41594</v>
      </c>
      <c r="B302" s="11">
        <f>+'Rainfall Data'!C301</f>
        <v>0</v>
      </c>
      <c r="C302" s="23">
        <f t="shared" si="16"/>
        <v>41.2</v>
      </c>
      <c r="D302" s="25">
        <f t="shared" si="17"/>
        <v>201311</v>
      </c>
    </row>
    <row r="303" spans="1:4" x14ac:dyDescent="0.2">
      <c r="A303" s="20">
        <f>+'Rainfall Data'!B302</f>
        <v>41595</v>
      </c>
      <c r="B303" s="11">
        <f>+'Rainfall Data'!C302</f>
        <v>0</v>
      </c>
      <c r="C303" s="23">
        <f t="shared" si="16"/>
        <v>41.2</v>
      </c>
      <c r="D303" s="25">
        <f t="shared" si="17"/>
        <v>201311</v>
      </c>
    </row>
    <row r="304" spans="1:4" x14ac:dyDescent="0.2">
      <c r="A304" s="20">
        <f>+'Rainfall Data'!B303</f>
        <v>41596</v>
      </c>
      <c r="B304" s="11">
        <f>+'Rainfall Data'!C303</f>
        <v>0</v>
      </c>
      <c r="C304" s="23">
        <f t="shared" si="16"/>
        <v>41.2</v>
      </c>
      <c r="D304" s="25">
        <f t="shared" si="17"/>
        <v>201311</v>
      </c>
    </row>
    <row r="305" spans="1:4" x14ac:dyDescent="0.2">
      <c r="A305" s="20">
        <f>+'Rainfall Data'!B304</f>
        <v>41597</v>
      </c>
      <c r="B305" s="11">
        <f>+'Rainfall Data'!C304</f>
        <v>0</v>
      </c>
      <c r="C305" s="23">
        <f t="shared" si="16"/>
        <v>41.2</v>
      </c>
      <c r="D305" s="25">
        <f t="shared" si="17"/>
        <v>201311</v>
      </c>
    </row>
    <row r="306" spans="1:4" x14ac:dyDescent="0.2">
      <c r="A306" s="20">
        <f>+'Rainfall Data'!B305</f>
        <v>41598</v>
      </c>
      <c r="B306" s="11">
        <f>+'Rainfall Data'!C305</f>
        <v>0</v>
      </c>
      <c r="C306" s="23">
        <f t="shared" si="16"/>
        <v>41.2</v>
      </c>
      <c r="D306" s="25">
        <f t="shared" si="17"/>
        <v>201311</v>
      </c>
    </row>
    <row r="307" spans="1:4" x14ac:dyDescent="0.2">
      <c r="A307" s="20">
        <f>+'Rainfall Data'!B306</f>
        <v>41599</v>
      </c>
      <c r="B307" s="11">
        <f>+'Rainfall Data'!C306</f>
        <v>0</v>
      </c>
      <c r="C307" s="23">
        <f t="shared" si="16"/>
        <v>41.2</v>
      </c>
      <c r="D307" s="25">
        <f t="shared" si="17"/>
        <v>201311</v>
      </c>
    </row>
    <row r="308" spans="1:4" x14ac:dyDescent="0.2">
      <c r="A308" s="20">
        <f>+'Rainfall Data'!B307</f>
        <v>41600</v>
      </c>
      <c r="B308" s="11">
        <f>+'Rainfall Data'!C307</f>
        <v>0</v>
      </c>
      <c r="C308" s="23">
        <f t="shared" ref="C308:C371" si="18">IF(B308="nd",0, IF(B308="T",0,B308))+C307</f>
        <v>41.2</v>
      </c>
      <c r="D308" s="25">
        <f t="shared" si="17"/>
        <v>201311</v>
      </c>
    </row>
    <row r="309" spans="1:4" x14ac:dyDescent="0.2">
      <c r="A309" s="20">
        <f>+'Rainfall Data'!B308</f>
        <v>41601</v>
      </c>
      <c r="B309" s="11">
        <f>+'Rainfall Data'!C308</f>
        <v>0</v>
      </c>
      <c r="C309" s="23">
        <f t="shared" si="18"/>
        <v>41.2</v>
      </c>
      <c r="D309" s="25">
        <f t="shared" si="17"/>
        <v>201311</v>
      </c>
    </row>
    <row r="310" spans="1:4" x14ac:dyDescent="0.2">
      <c r="A310" s="20">
        <f>+'Rainfall Data'!B309</f>
        <v>41602</v>
      </c>
      <c r="B310" s="11">
        <f>+'Rainfall Data'!C309</f>
        <v>0</v>
      </c>
      <c r="C310" s="23">
        <f t="shared" si="18"/>
        <v>41.2</v>
      </c>
      <c r="D310" s="25">
        <f t="shared" si="17"/>
        <v>201311</v>
      </c>
    </row>
    <row r="311" spans="1:4" x14ac:dyDescent="0.2">
      <c r="A311" s="20">
        <f>+'Rainfall Data'!B310</f>
        <v>41603</v>
      </c>
      <c r="B311" s="11">
        <f>+'Rainfall Data'!C310</f>
        <v>0</v>
      </c>
      <c r="C311" s="23">
        <f t="shared" si="18"/>
        <v>41.2</v>
      </c>
      <c r="D311" s="25">
        <f t="shared" si="17"/>
        <v>201311</v>
      </c>
    </row>
    <row r="312" spans="1:4" x14ac:dyDescent="0.2">
      <c r="A312" s="20">
        <f>+'Rainfall Data'!B311</f>
        <v>41604</v>
      </c>
      <c r="B312" s="11">
        <f>+'Rainfall Data'!C311</f>
        <v>0</v>
      </c>
      <c r="C312" s="23">
        <f t="shared" si="18"/>
        <v>41.2</v>
      </c>
      <c r="D312" s="25">
        <f t="shared" si="17"/>
        <v>201311</v>
      </c>
    </row>
    <row r="313" spans="1:4" x14ac:dyDescent="0.2">
      <c r="A313" s="20">
        <f>+'Rainfall Data'!B312</f>
        <v>41605</v>
      </c>
      <c r="B313" s="11">
        <f>+'Rainfall Data'!C312</f>
        <v>0</v>
      </c>
      <c r="C313" s="23">
        <f t="shared" si="18"/>
        <v>41.2</v>
      </c>
      <c r="D313" s="25">
        <f t="shared" si="17"/>
        <v>201311</v>
      </c>
    </row>
    <row r="314" spans="1:4" x14ac:dyDescent="0.2">
      <c r="A314" s="20">
        <f>+'Rainfall Data'!B313</f>
        <v>41606</v>
      </c>
      <c r="B314" s="11">
        <f>+'Rainfall Data'!C313</f>
        <v>1.3</v>
      </c>
      <c r="C314" s="23">
        <f t="shared" si="18"/>
        <v>42.5</v>
      </c>
      <c r="D314" s="25">
        <f t="shared" si="17"/>
        <v>201311</v>
      </c>
    </row>
    <row r="315" spans="1:4" x14ac:dyDescent="0.2">
      <c r="A315" s="20">
        <f>+'Rainfall Data'!B314</f>
        <v>41607</v>
      </c>
      <c r="B315" s="11">
        <f>+'Rainfall Data'!C314</f>
        <v>0.1</v>
      </c>
      <c r="C315" s="23">
        <f t="shared" si="18"/>
        <v>42.6</v>
      </c>
      <c r="D315" s="25">
        <f t="shared" si="17"/>
        <v>201311</v>
      </c>
    </row>
    <row r="316" spans="1:4" x14ac:dyDescent="0.2">
      <c r="A316" s="20">
        <f>+'Rainfall Data'!B315</f>
        <v>41608</v>
      </c>
      <c r="B316" s="11">
        <f>+'Rainfall Data'!C315</f>
        <v>0</v>
      </c>
      <c r="C316" s="23">
        <f t="shared" si="18"/>
        <v>42.6</v>
      </c>
      <c r="D316" s="25">
        <f t="shared" si="17"/>
        <v>201311</v>
      </c>
    </row>
    <row r="317" spans="1:4" x14ac:dyDescent="0.2">
      <c r="A317" s="20">
        <f>+'Rainfall Data'!B316</f>
        <v>41609</v>
      </c>
      <c r="B317" s="11">
        <f>+'Rainfall Data'!C316</f>
        <v>0</v>
      </c>
      <c r="C317" s="23">
        <f t="shared" si="18"/>
        <v>42.6</v>
      </c>
      <c r="D317" s="25">
        <f t="shared" si="17"/>
        <v>201312</v>
      </c>
    </row>
    <row r="318" spans="1:4" x14ac:dyDescent="0.2">
      <c r="A318" s="20">
        <f>+'Rainfall Data'!B317</f>
        <v>41610</v>
      </c>
      <c r="B318" s="11">
        <f>+'Rainfall Data'!C317</f>
        <v>0</v>
      </c>
      <c r="C318" s="23">
        <f t="shared" si="18"/>
        <v>42.6</v>
      </c>
      <c r="D318" s="25">
        <f t="shared" si="17"/>
        <v>201312</v>
      </c>
    </row>
    <row r="319" spans="1:4" x14ac:dyDescent="0.2">
      <c r="A319" s="20">
        <f>+'Rainfall Data'!B318</f>
        <v>41611</v>
      </c>
      <c r="B319" s="11">
        <f>+'Rainfall Data'!C318</f>
        <v>0</v>
      </c>
      <c r="C319" s="23">
        <f t="shared" si="18"/>
        <v>42.6</v>
      </c>
      <c r="D319" s="25">
        <f t="shared" si="17"/>
        <v>201312</v>
      </c>
    </row>
    <row r="320" spans="1:4" x14ac:dyDescent="0.2">
      <c r="A320" s="20">
        <f>+'Rainfall Data'!B319</f>
        <v>41612</v>
      </c>
      <c r="B320" s="11">
        <f>+'Rainfall Data'!C319</f>
        <v>0</v>
      </c>
      <c r="C320" s="23">
        <f t="shared" si="18"/>
        <v>42.6</v>
      </c>
      <c r="D320" s="25">
        <f t="shared" si="17"/>
        <v>201312</v>
      </c>
    </row>
    <row r="321" spans="1:4" x14ac:dyDescent="0.2">
      <c r="A321" s="20">
        <f>+'Rainfall Data'!B320</f>
        <v>41613</v>
      </c>
      <c r="B321" s="11">
        <f>+'Rainfall Data'!C320</f>
        <v>0</v>
      </c>
      <c r="C321" s="23">
        <f t="shared" si="18"/>
        <v>42.6</v>
      </c>
      <c r="D321" s="25">
        <f t="shared" si="17"/>
        <v>201312</v>
      </c>
    </row>
    <row r="322" spans="1:4" x14ac:dyDescent="0.2">
      <c r="A322" s="20">
        <f>+'Rainfall Data'!B321</f>
        <v>41614</v>
      </c>
      <c r="B322" s="11">
        <f>+'Rainfall Data'!C321</f>
        <v>0</v>
      </c>
      <c r="C322" s="23">
        <f t="shared" si="18"/>
        <v>42.6</v>
      </c>
      <c r="D322" s="25">
        <f t="shared" si="17"/>
        <v>201312</v>
      </c>
    </row>
    <row r="323" spans="1:4" x14ac:dyDescent="0.2">
      <c r="A323" s="20">
        <f>+'Rainfall Data'!B322</f>
        <v>41615</v>
      </c>
      <c r="B323" s="11">
        <f>+'Rainfall Data'!C322</f>
        <v>0</v>
      </c>
      <c r="C323" s="23">
        <f t="shared" si="18"/>
        <v>42.6</v>
      </c>
      <c r="D323" s="25">
        <f t="shared" si="17"/>
        <v>201312</v>
      </c>
    </row>
    <row r="324" spans="1:4" x14ac:dyDescent="0.2">
      <c r="A324" s="20">
        <f>+'Rainfall Data'!B323</f>
        <v>41616</v>
      </c>
      <c r="B324" s="11">
        <f>+'Rainfall Data'!C323</f>
        <v>0</v>
      </c>
      <c r="C324" s="23">
        <f t="shared" si="18"/>
        <v>42.6</v>
      </c>
      <c r="D324" s="25">
        <f t="shared" si="17"/>
        <v>201312</v>
      </c>
    </row>
    <row r="325" spans="1:4" x14ac:dyDescent="0.2">
      <c r="A325" s="20">
        <f>+'Rainfall Data'!B324</f>
        <v>41617</v>
      </c>
      <c r="B325" s="11">
        <f>+'Rainfall Data'!C324</f>
        <v>0</v>
      </c>
      <c r="C325" s="23">
        <f t="shared" si="18"/>
        <v>42.6</v>
      </c>
      <c r="D325" s="25">
        <f t="shared" si="17"/>
        <v>201312</v>
      </c>
    </row>
    <row r="326" spans="1:4" x14ac:dyDescent="0.2">
      <c r="A326" s="20">
        <f>+'Rainfall Data'!B325</f>
        <v>41618</v>
      </c>
      <c r="B326" s="11">
        <f>+'Rainfall Data'!C325</f>
        <v>0</v>
      </c>
      <c r="C326" s="23">
        <f t="shared" si="18"/>
        <v>42.6</v>
      </c>
      <c r="D326" s="25">
        <f t="shared" si="17"/>
        <v>201312</v>
      </c>
    </row>
    <row r="327" spans="1:4" x14ac:dyDescent="0.2">
      <c r="A327" s="20">
        <f>+'Rainfall Data'!B326</f>
        <v>41619</v>
      </c>
      <c r="B327" s="11">
        <f>+'Rainfall Data'!C326</f>
        <v>0</v>
      </c>
      <c r="C327" s="23">
        <f t="shared" si="18"/>
        <v>42.6</v>
      </c>
      <c r="D327" s="25">
        <f t="shared" si="17"/>
        <v>201312</v>
      </c>
    </row>
    <row r="328" spans="1:4" x14ac:dyDescent="0.2">
      <c r="A328" s="20">
        <f>+'Rainfall Data'!B327</f>
        <v>41620</v>
      </c>
      <c r="B328" s="11">
        <f>+'Rainfall Data'!C327</f>
        <v>0</v>
      </c>
      <c r="C328" s="23">
        <f t="shared" si="18"/>
        <v>42.6</v>
      </c>
      <c r="D328" s="25">
        <f t="shared" si="17"/>
        <v>201312</v>
      </c>
    </row>
    <row r="329" spans="1:4" x14ac:dyDescent="0.2">
      <c r="A329" s="20">
        <f>+'Rainfall Data'!B328</f>
        <v>41621</v>
      </c>
      <c r="B329" s="11">
        <f>+'Rainfall Data'!C328</f>
        <v>0</v>
      </c>
      <c r="C329" s="23">
        <f t="shared" si="18"/>
        <v>42.6</v>
      </c>
      <c r="D329" s="25">
        <f t="shared" si="17"/>
        <v>201312</v>
      </c>
    </row>
    <row r="330" spans="1:4" x14ac:dyDescent="0.2">
      <c r="A330" s="20">
        <f>+'Rainfall Data'!B329</f>
        <v>41622</v>
      </c>
      <c r="B330" s="11">
        <f>+'Rainfall Data'!C329</f>
        <v>0</v>
      </c>
      <c r="C330" s="23">
        <f t="shared" si="18"/>
        <v>42.6</v>
      </c>
      <c r="D330" s="25">
        <f t="shared" si="17"/>
        <v>201312</v>
      </c>
    </row>
    <row r="331" spans="1:4" x14ac:dyDescent="0.2">
      <c r="A331" s="20">
        <f>+'Rainfall Data'!B330</f>
        <v>41623</v>
      </c>
      <c r="B331" s="11">
        <f>+'Rainfall Data'!C330</f>
        <v>0</v>
      </c>
      <c r="C331" s="23">
        <f t="shared" si="18"/>
        <v>42.6</v>
      </c>
      <c r="D331" s="25">
        <f t="shared" si="17"/>
        <v>201312</v>
      </c>
    </row>
    <row r="332" spans="1:4" x14ac:dyDescent="0.2">
      <c r="A332" s="20">
        <f>+'Rainfall Data'!B331</f>
        <v>41624</v>
      </c>
      <c r="B332" s="11">
        <f>+'Rainfall Data'!C331</f>
        <v>0</v>
      </c>
      <c r="C332" s="23">
        <f t="shared" si="18"/>
        <v>42.6</v>
      </c>
      <c r="D332" s="25">
        <f t="shared" si="17"/>
        <v>201312</v>
      </c>
    </row>
    <row r="333" spans="1:4" x14ac:dyDescent="0.2">
      <c r="A333" s="20">
        <f>+'Rainfall Data'!B332</f>
        <v>41625</v>
      </c>
      <c r="B333" s="11">
        <f>+'Rainfall Data'!C332</f>
        <v>0</v>
      </c>
      <c r="C333" s="23">
        <f t="shared" si="18"/>
        <v>42.6</v>
      </c>
      <c r="D333" s="25">
        <f t="shared" si="17"/>
        <v>201312</v>
      </c>
    </row>
    <row r="334" spans="1:4" x14ac:dyDescent="0.2">
      <c r="A334" s="20">
        <f>+'Rainfall Data'!B333</f>
        <v>41626</v>
      </c>
      <c r="B334" s="11">
        <f>+'Rainfall Data'!C333</f>
        <v>0</v>
      </c>
      <c r="C334" s="23">
        <f t="shared" si="18"/>
        <v>42.6</v>
      </c>
      <c r="D334" s="25">
        <f t="shared" si="17"/>
        <v>201312</v>
      </c>
    </row>
    <row r="335" spans="1:4" x14ac:dyDescent="0.2">
      <c r="A335" s="20">
        <f>+'Rainfall Data'!B334</f>
        <v>41627</v>
      </c>
      <c r="B335" s="11">
        <f>+'Rainfall Data'!C334</f>
        <v>0</v>
      </c>
      <c r="C335" s="23">
        <f t="shared" si="18"/>
        <v>42.6</v>
      </c>
      <c r="D335" s="25">
        <f t="shared" si="17"/>
        <v>201312</v>
      </c>
    </row>
    <row r="336" spans="1:4" x14ac:dyDescent="0.2">
      <c r="A336" s="20">
        <f>+'Rainfall Data'!B335</f>
        <v>41628</v>
      </c>
      <c r="B336" s="11">
        <f>+'Rainfall Data'!C335</f>
        <v>0</v>
      </c>
      <c r="C336" s="23">
        <f t="shared" si="18"/>
        <v>42.6</v>
      </c>
      <c r="D336" s="25">
        <f t="shared" si="17"/>
        <v>201312</v>
      </c>
    </row>
    <row r="337" spans="1:4" x14ac:dyDescent="0.2">
      <c r="A337" s="20">
        <f>+'Rainfall Data'!B336</f>
        <v>41629</v>
      </c>
      <c r="B337" s="11">
        <f>+'Rainfall Data'!C336</f>
        <v>0</v>
      </c>
      <c r="C337" s="23">
        <f t="shared" si="18"/>
        <v>42.6</v>
      </c>
      <c r="D337" s="25">
        <f t="shared" si="17"/>
        <v>201312</v>
      </c>
    </row>
    <row r="338" spans="1:4" x14ac:dyDescent="0.2">
      <c r="A338" s="20">
        <f>+'Rainfall Data'!B337</f>
        <v>41630</v>
      </c>
      <c r="B338" s="11">
        <f>+'Rainfall Data'!C337</f>
        <v>0</v>
      </c>
      <c r="C338" s="23">
        <f t="shared" si="18"/>
        <v>42.6</v>
      </c>
      <c r="D338" s="25">
        <f t="shared" si="17"/>
        <v>201312</v>
      </c>
    </row>
    <row r="339" spans="1:4" x14ac:dyDescent="0.2">
      <c r="A339" s="20">
        <f>+'Rainfall Data'!B338</f>
        <v>41631</v>
      </c>
      <c r="B339" s="11">
        <f>+'Rainfall Data'!C338</f>
        <v>0</v>
      </c>
      <c r="C339" s="23">
        <f t="shared" si="18"/>
        <v>42.6</v>
      </c>
      <c r="D339" s="25">
        <f t="shared" si="17"/>
        <v>201312</v>
      </c>
    </row>
    <row r="340" spans="1:4" x14ac:dyDescent="0.2">
      <c r="A340" s="20">
        <f>+'Rainfall Data'!B339</f>
        <v>41632</v>
      </c>
      <c r="B340" s="11">
        <f>+'Rainfall Data'!C339</f>
        <v>0</v>
      </c>
      <c r="C340" s="23">
        <f t="shared" si="18"/>
        <v>42.6</v>
      </c>
      <c r="D340" s="25">
        <f t="shared" si="17"/>
        <v>201312</v>
      </c>
    </row>
    <row r="341" spans="1:4" x14ac:dyDescent="0.2">
      <c r="A341" s="20">
        <f>+'Rainfall Data'!B340</f>
        <v>41633</v>
      </c>
      <c r="B341" s="11">
        <f>+'Rainfall Data'!C340</f>
        <v>0</v>
      </c>
      <c r="C341" s="23">
        <f t="shared" si="18"/>
        <v>42.6</v>
      </c>
      <c r="D341" s="25">
        <f t="shared" ref="D341:D404" si="19">+YEAR(A341)*100+MONTH(A341)</f>
        <v>201312</v>
      </c>
    </row>
    <row r="342" spans="1:4" x14ac:dyDescent="0.2">
      <c r="A342" s="20">
        <f>+'Rainfall Data'!B341</f>
        <v>41634</v>
      </c>
      <c r="B342" s="11">
        <f>+'Rainfall Data'!C341</f>
        <v>0</v>
      </c>
      <c r="C342" s="23">
        <f t="shared" si="18"/>
        <v>42.6</v>
      </c>
      <c r="D342" s="25">
        <f t="shared" si="19"/>
        <v>201312</v>
      </c>
    </row>
    <row r="343" spans="1:4" x14ac:dyDescent="0.2">
      <c r="A343" s="20">
        <f>+'Rainfall Data'!B342</f>
        <v>41635</v>
      </c>
      <c r="B343" s="11">
        <f>+'Rainfall Data'!C342</f>
        <v>0</v>
      </c>
      <c r="C343" s="23">
        <f t="shared" si="18"/>
        <v>42.6</v>
      </c>
      <c r="D343" s="25">
        <f t="shared" si="19"/>
        <v>201312</v>
      </c>
    </row>
    <row r="344" spans="1:4" x14ac:dyDescent="0.2">
      <c r="A344" s="20">
        <f>+'Rainfall Data'!B343</f>
        <v>41636</v>
      </c>
      <c r="B344" s="11">
        <f>+'Rainfall Data'!C343</f>
        <v>0</v>
      </c>
      <c r="C344" s="23">
        <f t="shared" si="18"/>
        <v>42.6</v>
      </c>
      <c r="D344" s="25">
        <f t="shared" si="19"/>
        <v>201312</v>
      </c>
    </row>
    <row r="345" spans="1:4" x14ac:dyDescent="0.2">
      <c r="A345" s="20">
        <f>+'Rainfall Data'!B344</f>
        <v>41637</v>
      </c>
      <c r="B345" s="11">
        <f>+'Rainfall Data'!C344</f>
        <v>0</v>
      </c>
      <c r="C345" s="23">
        <f t="shared" si="18"/>
        <v>42.6</v>
      </c>
      <c r="D345" s="25">
        <f t="shared" si="19"/>
        <v>201312</v>
      </c>
    </row>
    <row r="346" spans="1:4" x14ac:dyDescent="0.2">
      <c r="A346" s="20">
        <f>+'Rainfall Data'!B345</f>
        <v>41638</v>
      </c>
      <c r="B346" s="11">
        <f>+'Rainfall Data'!C345</f>
        <v>0</v>
      </c>
      <c r="C346" s="23">
        <f t="shared" si="18"/>
        <v>42.6</v>
      </c>
      <c r="D346" s="25">
        <f t="shared" si="19"/>
        <v>201312</v>
      </c>
    </row>
    <row r="347" spans="1:4" x14ac:dyDescent="0.2">
      <c r="A347" s="20">
        <f>+'Rainfall Data'!B346</f>
        <v>41639</v>
      </c>
      <c r="B347" s="11">
        <f>+'Rainfall Data'!C346</f>
        <v>0</v>
      </c>
      <c r="C347" s="23">
        <f t="shared" si="18"/>
        <v>42.6</v>
      </c>
      <c r="D347" s="25">
        <f t="shared" si="19"/>
        <v>201312</v>
      </c>
    </row>
    <row r="348" spans="1:4" x14ac:dyDescent="0.2">
      <c r="A348" s="20">
        <f>+'Rainfall Data'!B347</f>
        <v>41640</v>
      </c>
      <c r="B348" s="11">
        <f>+'Rainfall Data'!C347</f>
        <v>0</v>
      </c>
      <c r="C348" s="23">
        <f t="shared" si="18"/>
        <v>42.6</v>
      </c>
      <c r="D348" s="25">
        <f t="shared" si="19"/>
        <v>201401</v>
      </c>
    </row>
    <row r="349" spans="1:4" x14ac:dyDescent="0.2">
      <c r="A349" s="20">
        <f>+'Rainfall Data'!B348</f>
        <v>41641</v>
      </c>
      <c r="B349" s="11">
        <f>+'Rainfall Data'!C348</f>
        <v>0</v>
      </c>
      <c r="C349" s="23">
        <f t="shared" si="18"/>
        <v>42.6</v>
      </c>
      <c r="D349" s="25">
        <f t="shared" si="19"/>
        <v>201401</v>
      </c>
    </row>
    <row r="350" spans="1:4" x14ac:dyDescent="0.2">
      <c r="A350" s="20">
        <f>+'Rainfall Data'!B349</f>
        <v>41642</v>
      </c>
      <c r="B350" s="11">
        <f>+'Rainfall Data'!C349</f>
        <v>0</v>
      </c>
      <c r="C350" s="23">
        <f t="shared" si="18"/>
        <v>42.6</v>
      </c>
      <c r="D350" s="25">
        <f t="shared" si="19"/>
        <v>201401</v>
      </c>
    </row>
    <row r="351" spans="1:4" x14ac:dyDescent="0.2">
      <c r="A351" s="20">
        <f>+'Rainfall Data'!B350</f>
        <v>41643</v>
      </c>
      <c r="B351" s="11">
        <f>+'Rainfall Data'!C350</f>
        <v>0</v>
      </c>
      <c r="C351" s="23">
        <f t="shared" si="18"/>
        <v>42.6</v>
      </c>
      <c r="D351" s="25">
        <f t="shared" si="19"/>
        <v>201401</v>
      </c>
    </row>
    <row r="352" spans="1:4" x14ac:dyDescent="0.2">
      <c r="A352" s="20">
        <f>+'Rainfall Data'!B351</f>
        <v>41644</v>
      </c>
      <c r="B352" s="11">
        <f>+'Rainfall Data'!C351</f>
        <v>0</v>
      </c>
      <c r="C352" s="23">
        <f t="shared" si="18"/>
        <v>42.6</v>
      </c>
      <c r="D352" s="25">
        <f t="shared" si="19"/>
        <v>201401</v>
      </c>
    </row>
    <row r="353" spans="1:4" x14ac:dyDescent="0.2">
      <c r="A353" s="20">
        <f>+'Rainfall Data'!B352</f>
        <v>41645</v>
      </c>
      <c r="B353" s="11">
        <f>+'Rainfall Data'!C352</f>
        <v>0</v>
      </c>
      <c r="C353" s="23">
        <f t="shared" si="18"/>
        <v>42.6</v>
      </c>
      <c r="D353" s="25">
        <f t="shared" si="19"/>
        <v>201401</v>
      </c>
    </row>
    <row r="354" spans="1:4" x14ac:dyDescent="0.2">
      <c r="A354" s="20">
        <f>+'Rainfall Data'!B353</f>
        <v>41646</v>
      </c>
      <c r="B354" s="11">
        <f>+'Rainfall Data'!C353</f>
        <v>0</v>
      </c>
      <c r="C354" s="23">
        <f t="shared" si="18"/>
        <v>42.6</v>
      </c>
      <c r="D354" s="25">
        <f t="shared" si="19"/>
        <v>201401</v>
      </c>
    </row>
    <row r="355" spans="1:4" x14ac:dyDescent="0.2">
      <c r="A355" s="20">
        <f>+'Rainfall Data'!B354</f>
        <v>41647</v>
      </c>
      <c r="B355" s="11">
        <f>+'Rainfall Data'!C354</f>
        <v>0</v>
      </c>
      <c r="C355" s="23">
        <f t="shared" si="18"/>
        <v>42.6</v>
      </c>
      <c r="D355" s="25">
        <f t="shared" si="19"/>
        <v>201401</v>
      </c>
    </row>
    <row r="356" spans="1:4" x14ac:dyDescent="0.2">
      <c r="A356" s="20">
        <f>+'Rainfall Data'!B355</f>
        <v>41648</v>
      </c>
      <c r="B356" s="11">
        <f>+'Rainfall Data'!C355</f>
        <v>0</v>
      </c>
      <c r="C356" s="23">
        <f t="shared" si="18"/>
        <v>42.6</v>
      </c>
      <c r="D356" s="25">
        <f t="shared" si="19"/>
        <v>201401</v>
      </c>
    </row>
    <row r="357" spans="1:4" x14ac:dyDescent="0.2">
      <c r="A357" s="20">
        <f>+'Rainfall Data'!B356</f>
        <v>41649</v>
      </c>
      <c r="B357" s="11">
        <f>+'Rainfall Data'!C356</f>
        <v>0</v>
      </c>
      <c r="C357" s="23">
        <f t="shared" si="18"/>
        <v>42.6</v>
      </c>
      <c r="D357" s="25">
        <f t="shared" si="19"/>
        <v>201401</v>
      </c>
    </row>
    <row r="358" spans="1:4" x14ac:dyDescent="0.2">
      <c r="A358" s="20">
        <f>+'Rainfall Data'!B357</f>
        <v>41650</v>
      </c>
      <c r="B358" s="11">
        <f>+'Rainfall Data'!C357</f>
        <v>0</v>
      </c>
      <c r="C358" s="23">
        <f t="shared" si="18"/>
        <v>42.6</v>
      </c>
      <c r="D358" s="25">
        <f t="shared" si="19"/>
        <v>201401</v>
      </c>
    </row>
    <row r="359" spans="1:4" x14ac:dyDescent="0.2">
      <c r="A359" s="20">
        <f>+'Rainfall Data'!B358</f>
        <v>41651</v>
      </c>
      <c r="B359" s="11">
        <f>+'Rainfall Data'!C358</f>
        <v>0</v>
      </c>
      <c r="C359" s="23">
        <f t="shared" si="18"/>
        <v>42.6</v>
      </c>
      <c r="D359" s="25">
        <f t="shared" si="19"/>
        <v>201401</v>
      </c>
    </row>
    <row r="360" spans="1:4" x14ac:dyDescent="0.2">
      <c r="A360" s="20">
        <f>+'Rainfall Data'!B359</f>
        <v>41652</v>
      </c>
      <c r="B360" s="11">
        <f>+'Rainfall Data'!C359</f>
        <v>0</v>
      </c>
      <c r="C360" s="23">
        <f t="shared" si="18"/>
        <v>42.6</v>
      </c>
      <c r="D360" s="25">
        <f t="shared" si="19"/>
        <v>201401</v>
      </c>
    </row>
    <row r="361" spans="1:4" x14ac:dyDescent="0.2">
      <c r="A361" s="20">
        <f>+'Rainfall Data'!B360</f>
        <v>41653</v>
      </c>
      <c r="B361" s="11">
        <f>+'Rainfall Data'!C360</f>
        <v>0</v>
      </c>
      <c r="C361" s="23">
        <f t="shared" si="18"/>
        <v>42.6</v>
      </c>
      <c r="D361" s="25">
        <f t="shared" si="19"/>
        <v>201401</v>
      </c>
    </row>
    <row r="362" spans="1:4" x14ac:dyDescent="0.2">
      <c r="A362" s="20">
        <f>+'Rainfall Data'!B361</f>
        <v>41654</v>
      </c>
      <c r="B362" s="11">
        <f>+'Rainfall Data'!C361</f>
        <v>0</v>
      </c>
      <c r="C362" s="23">
        <f t="shared" si="18"/>
        <v>42.6</v>
      </c>
      <c r="D362" s="25">
        <f t="shared" si="19"/>
        <v>201401</v>
      </c>
    </row>
    <row r="363" spans="1:4" x14ac:dyDescent="0.2">
      <c r="A363" s="20">
        <f>+'Rainfall Data'!B362</f>
        <v>41655</v>
      </c>
      <c r="B363" s="11">
        <f>+'Rainfall Data'!C362</f>
        <v>0</v>
      </c>
      <c r="C363" s="23">
        <f t="shared" si="18"/>
        <v>42.6</v>
      </c>
      <c r="D363" s="25">
        <f t="shared" si="19"/>
        <v>201401</v>
      </c>
    </row>
    <row r="364" spans="1:4" x14ac:dyDescent="0.2">
      <c r="A364" s="20">
        <f>+'Rainfall Data'!B363</f>
        <v>41656</v>
      </c>
      <c r="B364" s="11">
        <f>+'Rainfall Data'!C363</f>
        <v>0</v>
      </c>
      <c r="C364" s="23">
        <f t="shared" si="18"/>
        <v>42.6</v>
      </c>
      <c r="D364" s="25">
        <f t="shared" si="19"/>
        <v>201401</v>
      </c>
    </row>
    <row r="365" spans="1:4" x14ac:dyDescent="0.2">
      <c r="A365" s="20">
        <f>+'Rainfall Data'!B364</f>
        <v>41657</v>
      </c>
      <c r="B365" s="11">
        <f>+'Rainfall Data'!C364</f>
        <v>0</v>
      </c>
      <c r="C365" s="23">
        <f t="shared" si="18"/>
        <v>42.6</v>
      </c>
      <c r="D365" s="25">
        <f t="shared" si="19"/>
        <v>201401</v>
      </c>
    </row>
    <row r="366" spans="1:4" x14ac:dyDescent="0.2">
      <c r="A366" s="20">
        <f>+'Rainfall Data'!B365</f>
        <v>41658</v>
      </c>
      <c r="B366" s="11">
        <f>+'Rainfall Data'!C365</f>
        <v>0</v>
      </c>
      <c r="C366" s="23">
        <f t="shared" si="18"/>
        <v>42.6</v>
      </c>
      <c r="D366" s="25">
        <f t="shared" si="19"/>
        <v>201401</v>
      </c>
    </row>
    <row r="367" spans="1:4" x14ac:dyDescent="0.2">
      <c r="A367" s="20">
        <f>+'Rainfall Data'!B366</f>
        <v>41659</v>
      </c>
      <c r="B367" s="11">
        <f>+'Rainfall Data'!C366</f>
        <v>0</v>
      </c>
      <c r="C367" s="23">
        <f t="shared" si="18"/>
        <v>42.6</v>
      </c>
      <c r="D367" s="25">
        <f t="shared" si="19"/>
        <v>201401</v>
      </c>
    </row>
    <row r="368" spans="1:4" x14ac:dyDescent="0.2">
      <c r="A368" s="20">
        <f>+'Rainfall Data'!B367</f>
        <v>41660</v>
      </c>
      <c r="B368" s="11">
        <f>+'Rainfall Data'!C367</f>
        <v>0</v>
      </c>
      <c r="C368" s="23">
        <f t="shared" si="18"/>
        <v>42.6</v>
      </c>
      <c r="D368" s="25">
        <f t="shared" si="19"/>
        <v>201401</v>
      </c>
    </row>
    <row r="369" spans="1:4" x14ac:dyDescent="0.2">
      <c r="A369" s="20">
        <f>+'Rainfall Data'!B368</f>
        <v>41661</v>
      </c>
      <c r="B369" s="11">
        <f>+'Rainfall Data'!C368</f>
        <v>0</v>
      </c>
      <c r="C369" s="23">
        <f t="shared" si="18"/>
        <v>42.6</v>
      </c>
      <c r="D369" s="25">
        <f t="shared" si="19"/>
        <v>201401</v>
      </c>
    </row>
    <row r="370" spans="1:4" x14ac:dyDescent="0.2">
      <c r="A370" s="20">
        <f>+'Rainfall Data'!B369</f>
        <v>41662</v>
      </c>
      <c r="B370" s="11">
        <f>+'Rainfall Data'!C369</f>
        <v>0</v>
      </c>
      <c r="C370" s="23">
        <f t="shared" si="18"/>
        <v>42.6</v>
      </c>
      <c r="D370" s="25">
        <f t="shared" si="19"/>
        <v>201401</v>
      </c>
    </row>
    <row r="371" spans="1:4" x14ac:dyDescent="0.2">
      <c r="A371" s="20">
        <f>+'Rainfall Data'!B370</f>
        <v>41663</v>
      </c>
      <c r="B371" s="11">
        <f>+'Rainfall Data'!C370</f>
        <v>0</v>
      </c>
      <c r="C371" s="23">
        <f t="shared" si="18"/>
        <v>42.6</v>
      </c>
      <c r="D371" s="25">
        <f t="shared" si="19"/>
        <v>201401</v>
      </c>
    </row>
    <row r="372" spans="1:4" x14ac:dyDescent="0.2">
      <c r="A372" s="20">
        <f>+'Rainfall Data'!B371</f>
        <v>41664</v>
      </c>
      <c r="B372" s="11">
        <f>+'Rainfall Data'!C371</f>
        <v>0</v>
      </c>
      <c r="C372" s="23">
        <f t="shared" ref="C372:C375" si="20">IF(B372="nd",0, IF(B372="T",0,B372))+C371</f>
        <v>42.6</v>
      </c>
      <c r="D372" s="25">
        <f t="shared" si="19"/>
        <v>201401</v>
      </c>
    </row>
    <row r="373" spans="1:4" x14ac:dyDescent="0.2">
      <c r="A373" s="20">
        <f>+'Rainfall Data'!B372</f>
        <v>41665</v>
      </c>
      <c r="B373" s="11">
        <f>+'Rainfall Data'!C372</f>
        <v>0</v>
      </c>
      <c r="C373" s="23">
        <f t="shared" si="20"/>
        <v>42.6</v>
      </c>
      <c r="D373" s="25">
        <f t="shared" si="19"/>
        <v>201401</v>
      </c>
    </row>
    <row r="374" spans="1:4" x14ac:dyDescent="0.2">
      <c r="A374" s="20">
        <f>+'Rainfall Data'!B373</f>
        <v>41666</v>
      </c>
      <c r="B374" s="11">
        <f>+'Rainfall Data'!C373</f>
        <v>0</v>
      </c>
      <c r="C374" s="23">
        <f t="shared" si="20"/>
        <v>42.6</v>
      </c>
      <c r="D374" s="25">
        <f t="shared" si="19"/>
        <v>201401</v>
      </c>
    </row>
    <row r="375" spans="1:4" x14ac:dyDescent="0.2">
      <c r="A375" s="20">
        <f>+'Rainfall Data'!B374</f>
        <v>41667</v>
      </c>
      <c r="B375" s="11">
        <f>+'Rainfall Data'!C374</f>
        <v>0</v>
      </c>
      <c r="C375" s="23">
        <f t="shared" si="20"/>
        <v>42.6</v>
      </c>
      <c r="D375" s="25">
        <f t="shared" si="19"/>
        <v>201401</v>
      </c>
    </row>
    <row r="376" spans="1:4" x14ac:dyDescent="0.2">
      <c r="A376" s="20">
        <f>+'Rainfall Data'!B375</f>
        <v>41668</v>
      </c>
      <c r="B376" s="11">
        <f>+'Rainfall Data'!C375</f>
        <v>0</v>
      </c>
      <c r="C376" s="23">
        <f>IF(B376="nd",0, IF(B376="T",0,B376))+C375</f>
        <v>42.6</v>
      </c>
      <c r="D376" s="25">
        <f t="shared" si="19"/>
        <v>201401</v>
      </c>
    </row>
    <row r="377" spans="1:4" x14ac:dyDescent="0.2">
      <c r="A377" s="20">
        <f>+'Rainfall Data'!B376</f>
        <v>41669</v>
      </c>
      <c r="B377" s="11">
        <f>+'Rainfall Data'!C376</f>
        <v>0</v>
      </c>
      <c r="C377" s="23">
        <f>IF(B377="nd",0, IF(B377="T",0,B377))+C376</f>
        <v>42.6</v>
      </c>
      <c r="D377" s="25">
        <f t="shared" si="19"/>
        <v>201401</v>
      </c>
    </row>
    <row r="378" spans="1:4" x14ac:dyDescent="0.2">
      <c r="A378" s="20">
        <f>+'Rainfall Data'!B377</f>
        <v>41670</v>
      </c>
      <c r="B378" s="11">
        <f>+'Rainfall Data'!C377</f>
        <v>0</v>
      </c>
      <c r="C378" s="23">
        <f>IF(B378="nd",0, IF(B378="T",0,B378))+C377</f>
        <v>42.6</v>
      </c>
      <c r="D378" s="25">
        <f t="shared" si="19"/>
        <v>201401</v>
      </c>
    </row>
    <row r="379" spans="1:4" x14ac:dyDescent="0.2">
      <c r="A379" s="20">
        <f>+'Rainfall Data'!B378</f>
        <v>41671</v>
      </c>
      <c r="B379" s="11">
        <f>+'Rainfall Data'!C378</f>
        <v>0</v>
      </c>
      <c r="C379" s="23">
        <f t="shared" ref="C379:C442" si="21">IF(B379="nd",0, IF(B379="T",0,B379))+C378</f>
        <v>42.6</v>
      </c>
      <c r="D379" s="25">
        <f t="shared" si="19"/>
        <v>201402</v>
      </c>
    </row>
    <row r="380" spans="1:4" x14ac:dyDescent="0.2">
      <c r="A380" s="20">
        <f>+'Rainfall Data'!B379</f>
        <v>41672</v>
      </c>
      <c r="B380" s="11">
        <f>+'Rainfall Data'!C379</f>
        <v>0</v>
      </c>
      <c r="C380" s="23">
        <f t="shared" si="21"/>
        <v>42.6</v>
      </c>
      <c r="D380" s="25">
        <f t="shared" si="19"/>
        <v>201402</v>
      </c>
    </row>
    <row r="381" spans="1:4" x14ac:dyDescent="0.2">
      <c r="A381" s="20">
        <f>+'Rainfall Data'!B380</f>
        <v>41673</v>
      </c>
      <c r="B381" s="11">
        <f>+'Rainfall Data'!C380</f>
        <v>0</v>
      </c>
      <c r="C381" s="23">
        <f t="shared" si="21"/>
        <v>42.6</v>
      </c>
      <c r="D381" s="25">
        <f t="shared" si="19"/>
        <v>201402</v>
      </c>
    </row>
    <row r="382" spans="1:4" x14ac:dyDescent="0.2">
      <c r="A382" s="20">
        <f>+'Rainfall Data'!B381</f>
        <v>41674</v>
      </c>
      <c r="B382" s="11">
        <f>+'Rainfall Data'!C381</f>
        <v>0</v>
      </c>
      <c r="C382" s="23">
        <f t="shared" si="21"/>
        <v>42.6</v>
      </c>
      <c r="D382" s="25">
        <f t="shared" si="19"/>
        <v>201402</v>
      </c>
    </row>
    <row r="383" spans="1:4" x14ac:dyDescent="0.2">
      <c r="A383" s="20">
        <f>+'Rainfall Data'!B382</f>
        <v>41675</v>
      </c>
      <c r="B383" s="11">
        <f>+'Rainfall Data'!C382</f>
        <v>0</v>
      </c>
      <c r="C383" s="23">
        <f t="shared" si="21"/>
        <v>42.6</v>
      </c>
      <c r="D383" s="25">
        <f t="shared" si="19"/>
        <v>201402</v>
      </c>
    </row>
    <row r="384" spans="1:4" x14ac:dyDescent="0.2">
      <c r="A384" s="20">
        <f>+'Rainfall Data'!B383</f>
        <v>41676</v>
      </c>
      <c r="B384" s="11">
        <f>+'Rainfall Data'!C383</f>
        <v>0</v>
      </c>
      <c r="C384" s="23">
        <f t="shared" si="21"/>
        <v>42.6</v>
      </c>
      <c r="D384" s="25">
        <f t="shared" si="19"/>
        <v>201402</v>
      </c>
    </row>
    <row r="385" spans="1:4" x14ac:dyDescent="0.2">
      <c r="A385" s="20">
        <f>+'Rainfall Data'!B384</f>
        <v>41677</v>
      </c>
      <c r="B385" s="11">
        <f>+'Rainfall Data'!C384</f>
        <v>0</v>
      </c>
      <c r="C385" s="23">
        <f t="shared" si="21"/>
        <v>42.6</v>
      </c>
      <c r="D385" s="25">
        <f t="shared" si="19"/>
        <v>201402</v>
      </c>
    </row>
    <row r="386" spans="1:4" x14ac:dyDescent="0.2">
      <c r="A386" s="20">
        <f>+'Rainfall Data'!B385</f>
        <v>41678</v>
      </c>
      <c r="B386" s="11">
        <f>+'Rainfall Data'!C385</f>
        <v>0</v>
      </c>
      <c r="C386" s="23">
        <f t="shared" si="21"/>
        <v>42.6</v>
      </c>
      <c r="D386" s="25">
        <f t="shared" si="19"/>
        <v>201402</v>
      </c>
    </row>
    <row r="387" spans="1:4" x14ac:dyDescent="0.2">
      <c r="A387" s="20">
        <f>+'Rainfall Data'!B386</f>
        <v>41679</v>
      </c>
      <c r="B387" s="11">
        <f>+'Rainfall Data'!C386</f>
        <v>0</v>
      </c>
      <c r="C387" s="23">
        <f t="shared" si="21"/>
        <v>42.6</v>
      </c>
      <c r="D387" s="25">
        <f t="shared" si="19"/>
        <v>201402</v>
      </c>
    </row>
    <row r="388" spans="1:4" x14ac:dyDescent="0.2">
      <c r="A388" s="20">
        <f>+'Rainfall Data'!B387</f>
        <v>41680</v>
      </c>
      <c r="B388" s="11">
        <f>+'Rainfall Data'!C387</f>
        <v>0</v>
      </c>
      <c r="C388" s="23">
        <f t="shared" si="21"/>
        <v>42.6</v>
      </c>
      <c r="D388" s="25">
        <f t="shared" si="19"/>
        <v>201402</v>
      </c>
    </row>
    <row r="389" spans="1:4" x14ac:dyDescent="0.2">
      <c r="A389" s="20">
        <f>+'Rainfall Data'!B388</f>
        <v>41681</v>
      </c>
      <c r="B389" s="11">
        <f>+'Rainfall Data'!C388</f>
        <v>0</v>
      </c>
      <c r="C389" s="23">
        <f t="shared" si="21"/>
        <v>42.6</v>
      </c>
      <c r="D389" s="25">
        <f t="shared" si="19"/>
        <v>201402</v>
      </c>
    </row>
    <row r="390" spans="1:4" x14ac:dyDescent="0.2">
      <c r="A390" s="20">
        <f>+'Rainfall Data'!B389</f>
        <v>41682</v>
      </c>
      <c r="B390" s="11">
        <f>+'Rainfall Data'!C389</f>
        <v>0</v>
      </c>
      <c r="C390" s="23">
        <f t="shared" si="21"/>
        <v>42.6</v>
      </c>
      <c r="D390" s="25">
        <f t="shared" si="19"/>
        <v>201402</v>
      </c>
    </row>
    <row r="391" spans="1:4" x14ac:dyDescent="0.2">
      <c r="A391" s="20">
        <f>+'Rainfall Data'!B390</f>
        <v>41683</v>
      </c>
      <c r="B391" s="11">
        <f>+'Rainfall Data'!C390</f>
        <v>0</v>
      </c>
      <c r="C391" s="23">
        <f t="shared" si="21"/>
        <v>42.6</v>
      </c>
      <c r="D391" s="25">
        <f t="shared" si="19"/>
        <v>201402</v>
      </c>
    </row>
    <row r="392" spans="1:4" x14ac:dyDescent="0.2">
      <c r="A392" s="20">
        <f>+'Rainfall Data'!B391</f>
        <v>41684</v>
      </c>
      <c r="B392" s="11">
        <f>+'Rainfall Data'!C391</f>
        <v>0</v>
      </c>
      <c r="C392" s="23">
        <f t="shared" si="21"/>
        <v>42.6</v>
      </c>
      <c r="D392" s="25">
        <f t="shared" si="19"/>
        <v>201402</v>
      </c>
    </row>
    <row r="393" spans="1:4" x14ac:dyDescent="0.2">
      <c r="A393" s="20">
        <f>+'Rainfall Data'!B392</f>
        <v>41685</v>
      </c>
      <c r="B393" s="11">
        <f>+'Rainfall Data'!C392</f>
        <v>0</v>
      </c>
      <c r="C393" s="23">
        <f t="shared" si="21"/>
        <v>42.6</v>
      </c>
      <c r="D393" s="25">
        <f t="shared" si="19"/>
        <v>201402</v>
      </c>
    </row>
    <row r="394" spans="1:4" x14ac:dyDescent="0.2">
      <c r="A394" s="20">
        <f>+'Rainfall Data'!B393</f>
        <v>41686</v>
      </c>
      <c r="B394" s="11">
        <f>+'Rainfall Data'!C393</f>
        <v>0</v>
      </c>
      <c r="C394" s="23">
        <f t="shared" si="21"/>
        <v>42.6</v>
      </c>
      <c r="D394" s="25">
        <f t="shared" si="19"/>
        <v>201402</v>
      </c>
    </row>
    <row r="395" spans="1:4" x14ac:dyDescent="0.2">
      <c r="A395" s="20">
        <f>+'Rainfall Data'!B394</f>
        <v>41687</v>
      </c>
      <c r="B395" s="11">
        <f>+'Rainfall Data'!C394</f>
        <v>0</v>
      </c>
      <c r="C395" s="23">
        <f t="shared" si="21"/>
        <v>42.6</v>
      </c>
      <c r="D395" s="25">
        <f t="shared" si="19"/>
        <v>201402</v>
      </c>
    </row>
    <row r="396" spans="1:4" x14ac:dyDescent="0.2">
      <c r="A396" s="20">
        <f>+'Rainfall Data'!B395</f>
        <v>41688</v>
      </c>
      <c r="B396" s="11">
        <f>+'Rainfall Data'!C395</f>
        <v>0</v>
      </c>
      <c r="C396" s="23">
        <f t="shared" si="21"/>
        <v>42.6</v>
      </c>
      <c r="D396" s="25">
        <f t="shared" si="19"/>
        <v>201402</v>
      </c>
    </row>
    <row r="397" spans="1:4" x14ac:dyDescent="0.2">
      <c r="A397" s="20">
        <f>+'Rainfall Data'!B396</f>
        <v>41689</v>
      </c>
      <c r="B397" s="11">
        <f>+'Rainfall Data'!C396</f>
        <v>0</v>
      </c>
      <c r="C397" s="23">
        <f t="shared" si="21"/>
        <v>42.6</v>
      </c>
      <c r="D397" s="25">
        <f t="shared" si="19"/>
        <v>201402</v>
      </c>
    </row>
    <row r="398" spans="1:4" x14ac:dyDescent="0.2">
      <c r="A398" s="20">
        <f>+'Rainfall Data'!B397</f>
        <v>41690</v>
      </c>
      <c r="B398" s="11">
        <f>+'Rainfall Data'!C397</f>
        <v>0</v>
      </c>
      <c r="C398" s="23">
        <f t="shared" si="21"/>
        <v>42.6</v>
      </c>
      <c r="D398" s="25">
        <f t="shared" si="19"/>
        <v>201402</v>
      </c>
    </row>
    <row r="399" spans="1:4" x14ac:dyDescent="0.2">
      <c r="A399" s="20">
        <f>+'Rainfall Data'!B398</f>
        <v>41691</v>
      </c>
      <c r="B399" s="11">
        <f>+'Rainfall Data'!C398</f>
        <v>0</v>
      </c>
      <c r="C399" s="23">
        <f t="shared" si="21"/>
        <v>42.6</v>
      </c>
      <c r="D399" s="25">
        <f t="shared" si="19"/>
        <v>201402</v>
      </c>
    </row>
    <row r="400" spans="1:4" x14ac:dyDescent="0.2">
      <c r="A400" s="20">
        <f>+'Rainfall Data'!B399</f>
        <v>41692</v>
      </c>
      <c r="B400" s="11">
        <f>+'Rainfall Data'!C399</f>
        <v>0</v>
      </c>
      <c r="C400" s="23">
        <f t="shared" si="21"/>
        <v>42.6</v>
      </c>
      <c r="D400" s="25">
        <f t="shared" si="19"/>
        <v>201402</v>
      </c>
    </row>
    <row r="401" spans="1:4" x14ac:dyDescent="0.2">
      <c r="A401" s="20">
        <f>+'Rainfall Data'!B400</f>
        <v>41693</v>
      </c>
      <c r="B401" s="11">
        <f>+'Rainfall Data'!C400</f>
        <v>0</v>
      </c>
      <c r="C401" s="23">
        <f t="shared" si="21"/>
        <v>42.6</v>
      </c>
      <c r="D401" s="25">
        <f t="shared" si="19"/>
        <v>201402</v>
      </c>
    </row>
    <row r="402" spans="1:4" x14ac:dyDescent="0.2">
      <c r="A402" s="20">
        <f>+'Rainfall Data'!B401</f>
        <v>41694</v>
      </c>
      <c r="B402" s="11">
        <f>+'Rainfall Data'!C401</f>
        <v>0</v>
      </c>
      <c r="C402" s="23">
        <f t="shared" si="21"/>
        <v>42.6</v>
      </c>
      <c r="D402" s="25">
        <f t="shared" si="19"/>
        <v>201402</v>
      </c>
    </row>
    <row r="403" spans="1:4" x14ac:dyDescent="0.2">
      <c r="A403" s="20">
        <f>+'Rainfall Data'!B402</f>
        <v>41695</v>
      </c>
      <c r="B403" s="11">
        <f>+'Rainfall Data'!C402</f>
        <v>0</v>
      </c>
      <c r="C403" s="23">
        <f t="shared" si="21"/>
        <v>42.6</v>
      </c>
      <c r="D403" s="25">
        <f t="shared" si="19"/>
        <v>201402</v>
      </c>
    </row>
    <row r="404" spans="1:4" x14ac:dyDescent="0.2">
      <c r="A404" s="20">
        <f>+'Rainfall Data'!B403</f>
        <v>41696</v>
      </c>
      <c r="B404" s="11">
        <f>+'Rainfall Data'!C403</f>
        <v>0</v>
      </c>
      <c r="C404" s="23">
        <f t="shared" si="21"/>
        <v>42.6</v>
      </c>
      <c r="D404" s="25">
        <f t="shared" si="19"/>
        <v>201402</v>
      </c>
    </row>
    <row r="405" spans="1:4" x14ac:dyDescent="0.2">
      <c r="A405" s="20">
        <f>+'Rainfall Data'!B404</f>
        <v>41697</v>
      </c>
      <c r="B405" s="11">
        <f>+'Rainfall Data'!C404</f>
        <v>0</v>
      </c>
      <c r="C405" s="23">
        <f t="shared" si="21"/>
        <v>42.6</v>
      </c>
      <c r="D405" s="25">
        <f t="shared" ref="D405:D468" si="22">+YEAR(A405)*100+MONTH(A405)</f>
        <v>201402</v>
      </c>
    </row>
    <row r="406" spans="1:4" x14ac:dyDescent="0.2">
      <c r="A406" s="20">
        <f>+'Rainfall Data'!B405</f>
        <v>41698</v>
      </c>
      <c r="B406" s="11">
        <f>+'Rainfall Data'!C405</f>
        <v>0</v>
      </c>
      <c r="C406" s="23">
        <f t="shared" si="21"/>
        <v>42.6</v>
      </c>
      <c r="D406" s="25">
        <f t="shared" si="22"/>
        <v>201402</v>
      </c>
    </row>
    <row r="407" spans="1:4" x14ac:dyDescent="0.2">
      <c r="A407" s="20">
        <f>+'Rainfall Data'!B406</f>
        <v>41699</v>
      </c>
      <c r="B407" s="11">
        <f>+'Rainfall Data'!C406</f>
        <v>0</v>
      </c>
      <c r="C407" s="23">
        <f t="shared" si="21"/>
        <v>42.6</v>
      </c>
      <c r="D407" s="25">
        <f t="shared" si="22"/>
        <v>201403</v>
      </c>
    </row>
    <row r="408" spans="1:4" x14ac:dyDescent="0.2">
      <c r="A408" s="20">
        <f>+'Rainfall Data'!B407</f>
        <v>41700</v>
      </c>
      <c r="B408" s="11">
        <f>+'Rainfall Data'!C407</f>
        <v>0</v>
      </c>
      <c r="C408" s="23">
        <f t="shared" si="21"/>
        <v>42.6</v>
      </c>
      <c r="D408" s="25">
        <f t="shared" si="22"/>
        <v>201403</v>
      </c>
    </row>
    <row r="409" spans="1:4" x14ac:dyDescent="0.2">
      <c r="A409" s="20">
        <f>+'Rainfall Data'!B408</f>
        <v>41701</v>
      </c>
      <c r="B409" s="11">
        <f>+'Rainfall Data'!C408</f>
        <v>0</v>
      </c>
      <c r="C409" s="23">
        <f t="shared" si="21"/>
        <v>42.6</v>
      </c>
      <c r="D409" s="25">
        <f t="shared" si="22"/>
        <v>201403</v>
      </c>
    </row>
    <row r="410" spans="1:4" x14ac:dyDescent="0.2">
      <c r="A410" s="20">
        <f>+'Rainfall Data'!B409</f>
        <v>41702</v>
      </c>
      <c r="B410" s="11">
        <f>+'Rainfall Data'!C409</f>
        <v>0</v>
      </c>
      <c r="C410" s="23">
        <f t="shared" si="21"/>
        <v>42.6</v>
      </c>
      <c r="D410" s="25">
        <f t="shared" si="22"/>
        <v>201403</v>
      </c>
    </row>
    <row r="411" spans="1:4" x14ac:dyDescent="0.2">
      <c r="A411" s="20">
        <f>+'Rainfall Data'!B410</f>
        <v>41703</v>
      </c>
      <c r="B411" s="11">
        <f>+'Rainfall Data'!C410</f>
        <v>0</v>
      </c>
      <c r="C411" s="23">
        <f t="shared" si="21"/>
        <v>42.6</v>
      </c>
      <c r="D411" s="25">
        <f t="shared" si="22"/>
        <v>201403</v>
      </c>
    </row>
    <row r="412" spans="1:4" x14ac:dyDescent="0.2">
      <c r="A412" s="20">
        <f>+'Rainfall Data'!B411</f>
        <v>41704</v>
      </c>
      <c r="B412" s="11">
        <f>+'Rainfall Data'!C411</f>
        <v>0</v>
      </c>
      <c r="C412" s="23">
        <f t="shared" si="21"/>
        <v>42.6</v>
      </c>
      <c r="D412" s="25">
        <f t="shared" si="22"/>
        <v>201403</v>
      </c>
    </row>
    <row r="413" spans="1:4" x14ac:dyDescent="0.2">
      <c r="A413" s="20">
        <f>+'Rainfall Data'!B412</f>
        <v>41705</v>
      </c>
      <c r="B413" s="11">
        <f>+'Rainfall Data'!C412</f>
        <v>0</v>
      </c>
      <c r="C413" s="23">
        <f t="shared" si="21"/>
        <v>42.6</v>
      </c>
      <c r="D413" s="25">
        <f t="shared" si="22"/>
        <v>201403</v>
      </c>
    </row>
    <row r="414" spans="1:4" x14ac:dyDescent="0.2">
      <c r="A414" s="20">
        <f>+'Rainfall Data'!B413</f>
        <v>41706</v>
      </c>
      <c r="B414" s="11">
        <f>+'Rainfall Data'!C413</f>
        <v>0</v>
      </c>
      <c r="C414" s="23">
        <f t="shared" si="21"/>
        <v>42.6</v>
      </c>
      <c r="D414" s="25">
        <f t="shared" si="22"/>
        <v>201403</v>
      </c>
    </row>
    <row r="415" spans="1:4" x14ac:dyDescent="0.2">
      <c r="A415" s="20">
        <f>+'Rainfall Data'!B414</f>
        <v>41707</v>
      </c>
      <c r="B415" s="11">
        <f>+'Rainfall Data'!C414</f>
        <v>0</v>
      </c>
      <c r="C415" s="23">
        <f t="shared" si="21"/>
        <v>42.6</v>
      </c>
      <c r="D415" s="25">
        <f t="shared" si="22"/>
        <v>201403</v>
      </c>
    </row>
    <row r="416" spans="1:4" x14ac:dyDescent="0.2">
      <c r="A416" s="20">
        <f>+'Rainfall Data'!B415</f>
        <v>41708</v>
      </c>
      <c r="B416" s="11">
        <f>+'Rainfall Data'!C415</f>
        <v>0</v>
      </c>
      <c r="C416" s="23">
        <f t="shared" si="21"/>
        <v>42.6</v>
      </c>
      <c r="D416" s="25">
        <f t="shared" si="22"/>
        <v>201403</v>
      </c>
    </row>
    <row r="417" spans="1:4" x14ac:dyDescent="0.2">
      <c r="A417" s="20">
        <f>+'Rainfall Data'!B416</f>
        <v>41709</v>
      </c>
      <c r="B417" s="11">
        <f>+'Rainfall Data'!C416</f>
        <v>0</v>
      </c>
      <c r="C417" s="23">
        <f t="shared" si="21"/>
        <v>42.6</v>
      </c>
      <c r="D417" s="25">
        <f t="shared" si="22"/>
        <v>201403</v>
      </c>
    </row>
    <row r="418" spans="1:4" x14ac:dyDescent="0.2">
      <c r="A418" s="20">
        <f>+'Rainfall Data'!B417</f>
        <v>41710</v>
      </c>
      <c r="B418" s="11">
        <f>+'Rainfall Data'!C417</f>
        <v>0</v>
      </c>
      <c r="C418" s="23">
        <f t="shared" si="21"/>
        <v>42.6</v>
      </c>
      <c r="D418" s="25">
        <f t="shared" si="22"/>
        <v>201403</v>
      </c>
    </row>
    <row r="419" spans="1:4" x14ac:dyDescent="0.2">
      <c r="A419" s="20">
        <f>+'Rainfall Data'!B418</f>
        <v>41711</v>
      </c>
      <c r="B419" s="11">
        <f>+'Rainfall Data'!C418</f>
        <v>0</v>
      </c>
      <c r="C419" s="23">
        <f t="shared" si="21"/>
        <v>42.6</v>
      </c>
      <c r="D419" s="25">
        <f t="shared" si="22"/>
        <v>201403</v>
      </c>
    </row>
    <row r="420" spans="1:4" x14ac:dyDescent="0.2">
      <c r="A420" s="20">
        <f>+'Rainfall Data'!B419</f>
        <v>41712</v>
      </c>
      <c r="B420" s="11">
        <f>+'Rainfall Data'!C419</f>
        <v>0</v>
      </c>
      <c r="C420" s="23">
        <f t="shared" si="21"/>
        <v>42.6</v>
      </c>
      <c r="D420" s="25">
        <f t="shared" si="22"/>
        <v>201403</v>
      </c>
    </row>
    <row r="421" spans="1:4" x14ac:dyDescent="0.2">
      <c r="A421" s="20">
        <f>+'Rainfall Data'!B420</f>
        <v>41713</v>
      </c>
      <c r="B421" s="11">
        <f>+'Rainfall Data'!C420</f>
        <v>0</v>
      </c>
      <c r="C421" s="23">
        <f t="shared" si="21"/>
        <v>42.6</v>
      </c>
      <c r="D421" s="25">
        <f t="shared" si="22"/>
        <v>201403</v>
      </c>
    </row>
    <row r="422" spans="1:4" x14ac:dyDescent="0.2">
      <c r="A422" s="20">
        <f>+'Rainfall Data'!B421</f>
        <v>41714</v>
      </c>
      <c r="B422" s="11">
        <f>+'Rainfall Data'!C421</f>
        <v>0</v>
      </c>
      <c r="C422" s="23">
        <f t="shared" si="21"/>
        <v>42.6</v>
      </c>
      <c r="D422" s="25">
        <f t="shared" si="22"/>
        <v>201403</v>
      </c>
    </row>
    <row r="423" spans="1:4" x14ac:dyDescent="0.2">
      <c r="A423" s="20">
        <f>+'Rainfall Data'!B422</f>
        <v>41715</v>
      </c>
      <c r="B423" s="11">
        <f>+'Rainfall Data'!C422</f>
        <v>0</v>
      </c>
      <c r="C423" s="23">
        <f t="shared" si="21"/>
        <v>42.6</v>
      </c>
      <c r="D423" s="25">
        <f t="shared" si="22"/>
        <v>201403</v>
      </c>
    </row>
    <row r="424" spans="1:4" x14ac:dyDescent="0.2">
      <c r="A424" s="20">
        <f>+'Rainfall Data'!B423</f>
        <v>41716</v>
      </c>
      <c r="B424" s="11">
        <f>+'Rainfall Data'!C423</f>
        <v>0</v>
      </c>
      <c r="C424" s="23">
        <f t="shared" si="21"/>
        <v>42.6</v>
      </c>
      <c r="D424" s="25">
        <f t="shared" si="22"/>
        <v>201403</v>
      </c>
    </row>
    <row r="425" spans="1:4" x14ac:dyDescent="0.2">
      <c r="A425" s="20">
        <f>+'Rainfall Data'!B424</f>
        <v>41717</v>
      </c>
      <c r="B425" s="11">
        <f>+'Rainfall Data'!C424</f>
        <v>0</v>
      </c>
      <c r="C425" s="23">
        <f t="shared" si="21"/>
        <v>42.6</v>
      </c>
      <c r="D425" s="25">
        <f t="shared" si="22"/>
        <v>201403</v>
      </c>
    </row>
    <row r="426" spans="1:4" x14ac:dyDescent="0.2">
      <c r="A426" s="20">
        <f>+'Rainfall Data'!B425</f>
        <v>41718</v>
      </c>
      <c r="B426" s="11">
        <f>+'Rainfall Data'!C425</f>
        <v>0.2</v>
      </c>
      <c r="C426" s="23">
        <f t="shared" si="21"/>
        <v>42.800000000000004</v>
      </c>
      <c r="D426" s="25">
        <f t="shared" si="22"/>
        <v>201403</v>
      </c>
    </row>
    <row r="427" spans="1:4" x14ac:dyDescent="0.2">
      <c r="A427" s="20">
        <f>+'Rainfall Data'!B426</f>
        <v>41719</v>
      </c>
      <c r="B427" s="11">
        <f>+'Rainfall Data'!C426</f>
        <v>0</v>
      </c>
      <c r="C427" s="23">
        <f t="shared" si="21"/>
        <v>42.800000000000004</v>
      </c>
      <c r="D427" s="25">
        <f t="shared" si="22"/>
        <v>201403</v>
      </c>
    </row>
    <row r="428" spans="1:4" x14ac:dyDescent="0.2">
      <c r="A428" s="20">
        <f>+'Rainfall Data'!B427</f>
        <v>41720</v>
      </c>
      <c r="B428" s="11">
        <f>+'Rainfall Data'!C427</f>
        <v>0</v>
      </c>
      <c r="C428" s="23">
        <f t="shared" si="21"/>
        <v>42.800000000000004</v>
      </c>
      <c r="D428" s="25">
        <f t="shared" si="22"/>
        <v>201403</v>
      </c>
    </row>
    <row r="429" spans="1:4" x14ac:dyDescent="0.2">
      <c r="A429" s="20">
        <f>+'Rainfall Data'!B428</f>
        <v>41721</v>
      </c>
      <c r="B429" s="11">
        <f>+'Rainfall Data'!C428</f>
        <v>0</v>
      </c>
      <c r="C429" s="23">
        <f t="shared" si="21"/>
        <v>42.800000000000004</v>
      </c>
      <c r="D429" s="25">
        <f t="shared" si="22"/>
        <v>201403</v>
      </c>
    </row>
    <row r="430" spans="1:4" x14ac:dyDescent="0.2">
      <c r="A430" s="20">
        <f>+'Rainfall Data'!B429</f>
        <v>41722</v>
      </c>
      <c r="B430" s="11">
        <f>+'Rainfall Data'!C429</f>
        <v>0</v>
      </c>
      <c r="C430" s="23">
        <f t="shared" si="21"/>
        <v>42.800000000000004</v>
      </c>
      <c r="D430" s="25">
        <f t="shared" si="22"/>
        <v>201403</v>
      </c>
    </row>
    <row r="431" spans="1:4" x14ac:dyDescent="0.2">
      <c r="A431" s="20">
        <f>+'Rainfall Data'!B430</f>
        <v>41723</v>
      </c>
      <c r="B431" s="11">
        <f>+'Rainfall Data'!C430</f>
        <v>0</v>
      </c>
      <c r="C431" s="23">
        <f t="shared" si="21"/>
        <v>42.800000000000004</v>
      </c>
      <c r="D431" s="25">
        <f t="shared" si="22"/>
        <v>201403</v>
      </c>
    </row>
    <row r="432" spans="1:4" x14ac:dyDescent="0.2">
      <c r="A432" s="20">
        <f>+'Rainfall Data'!B431</f>
        <v>41724</v>
      </c>
      <c r="B432" s="11">
        <f>+'Rainfall Data'!C431</f>
        <v>0</v>
      </c>
      <c r="C432" s="23">
        <f t="shared" si="21"/>
        <v>42.800000000000004</v>
      </c>
      <c r="D432" s="25">
        <f t="shared" si="22"/>
        <v>201403</v>
      </c>
    </row>
    <row r="433" spans="1:4" x14ac:dyDescent="0.2">
      <c r="A433" s="20">
        <f>+'Rainfall Data'!B432</f>
        <v>41725</v>
      </c>
      <c r="B433" s="11">
        <f>+'Rainfall Data'!C432</f>
        <v>0</v>
      </c>
      <c r="C433" s="23">
        <f t="shared" si="21"/>
        <v>42.800000000000004</v>
      </c>
      <c r="D433" s="25">
        <f t="shared" si="22"/>
        <v>201403</v>
      </c>
    </row>
    <row r="434" spans="1:4" x14ac:dyDescent="0.2">
      <c r="A434" s="20">
        <f>+'Rainfall Data'!B433</f>
        <v>41726</v>
      </c>
      <c r="B434" s="11">
        <f>+'Rainfall Data'!C433</f>
        <v>0</v>
      </c>
      <c r="C434" s="23">
        <f t="shared" si="21"/>
        <v>42.800000000000004</v>
      </c>
      <c r="D434" s="25">
        <f t="shared" si="22"/>
        <v>201403</v>
      </c>
    </row>
    <row r="435" spans="1:4" x14ac:dyDescent="0.2">
      <c r="A435" s="20">
        <f>+'Rainfall Data'!B434</f>
        <v>41727</v>
      </c>
      <c r="B435" s="11">
        <f>+'Rainfall Data'!C434</f>
        <v>0</v>
      </c>
      <c r="C435" s="23">
        <f t="shared" si="21"/>
        <v>42.800000000000004</v>
      </c>
      <c r="D435" s="25">
        <f t="shared" si="22"/>
        <v>201403</v>
      </c>
    </row>
    <row r="436" spans="1:4" x14ac:dyDescent="0.2">
      <c r="A436" s="20">
        <f>+'Rainfall Data'!B435</f>
        <v>41728</v>
      </c>
      <c r="B436" s="11">
        <f>+'Rainfall Data'!C435</f>
        <v>0</v>
      </c>
      <c r="C436" s="23">
        <f t="shared" si="21"/>
        <v>42.800000000000004</v>
      </c>
      <c r="D436" s="25">
        <f t="shared" si="22"/>
        <v>201403</v>
      </c>
    </row>
    <row r="437" spans="1:4" x14ac:dyDescent="0.2">
      <c r="A437" s="20">
        <f>+'Rainfall Data'!B436</f>
        <v>41729</v>
      </c>
      <c r="B437" s="11">
        <f>+'Rainfall Data'!C436</f>
        <v>0</v>
      </c>
      <c r="C437" s="23">
        <f t="shared" si="21"/>
        <v>42.800000000000004</v>
      </c>
      <c r="D437" s="25">
        <f t="shared" si="22"/>
        <v>201403</v>
      </c>
    </row>
    <row r="438" spans="1:4" x14ac:dyDescent="0.2">
      <c r="A438" s="20">
        <f>+'Rainfall Data'!B437</f>
        <v>41730</v>
      </c>
      <c r="B438" s="11">
        <f>+'Rainfall Data'!C437</f>
        <v>0</v>
      </c>
      <c r="C438" s="23">
        <f t="shared" si="21"/>
        <v>42.800000000000004</v>
      </c>
      <c r="D438" s="25">
        <f t="shared" si="22"/>
        <v>201404</v>
      </c>
    </row>
    <row r="439" spans="1:4" x14ac:dyDescent="0.2">
      <c r="A439" s="20">
        <f>+'Rainfall Data'!B438</f>
        <v>41731</v>
      </c>
      <c r="B439" s="11">
        <f>+'Rainfall Data'!C438</f>
        <v>0</v>
      </c>
      <c r="C439" s="23">
        <f t="shared" si="21"/>
        <v>42.800000000000004</v>
      </c>
      <c r="D439" s="25">
        <f t="shared" si="22"/>
        <v>201404</v>
      </c>
    </row>
    <row r="440" spans="1:4" x14ac:dyDescent="0.2">
      <c r="A440" s="20">
        <f>+'Rainfall Data'!B439</f>
        <v>41732</v>
      </c>
      <c r="B440" s="11">
        <f>+'Rainfall Data'!C439</f>
        <v>0</v>
      </c>
      <c r="C440" s="23">
        <f t="shared" si="21"/>
        <v>42.800000000000004</v>
      </c>
      <c r="D440" s="25">
        <f t="shared" si="22"/>
        <v>201404</v>
      </c>
    </row>
    <row r="441" spans="1:4" x14ac:dyDescent="0.2">
      <c r="A441" s="20">
        <f>+'Rainfall Data'!B440</f>
        <v>41733</v>
      </c>
      <c r="B441" s="11">
        <f>+'Rainfall Data'!C440</f>
        <v>0.6</v>
      </c>
      <c r="C441" s="23">
        <f t="shared" si="21"/>
        <v>43.400000000000006</v>
      </c>
      <c r="D441" s="25">
        <f t="shared" si="22"/>
        <v>201404</v>
      </c>
    </row>
    <row r="442" spans="1:4" x14ac:dyDescent="0.2">
      <c r="A442" s="20">
        <f>+'Rainfall Data'!B441</f>
        <v>41734</v>
      </c>
      <c r="B442" s="11">
        <f>+'Rainfall Data'!C441</f>
        <v>0.8</v>
      </c>
      <c r="C442" s="23">
        <f t="shared" si="21"/>
        <v>44.2</v>
      </c>
      <c r="D442" s="25">
        <f t="shared" si="22"/>
        <v>201404</v>
      </c>
    </row>
    <row r="443" spans="1:4" x14ac:dyDescent="0.2">
      <c r="A443" s="20">
        <f>+'Rainfall Data'!B442</f>
        <v>41735</v>
      </c>
      <c r="B443" s="11">
        <f>+'Rainfall Data'!C442</f>
        <v>0</v>
      </c>
      <c r="C443" s="23">
        <f t="shared" ref="C443:C449" si="23">IF(B443="nd",0, IF(B443="T",0,B443))+C442</f>
        <v>44.2</v>
      </c>
      <c r="D443" s="25">
        <f t="shared" si="22"/>
        <v>201404</v>
      </c>
    </row>
    <row r="444" spans="1:4" x14ac:dyDescent="0.2">
      <c r="A444" s="20">
        <f>+'Rainfall Data'!B443</f>
        <v>41736</v>
      </c>
      <c r="B444" s="11">
        <f>+'Rainfall Data'!C443</f>
        <v>0</v>
      </c>
      <c r="C444" s="23">
        <f t="shared" si="23"/>
        <v>44.2</v>
      </c>
      <c r="D444" s="25">
        <f t="shared" si="22"/>
        <v>201404</v>
      </c>
    </row>
    <row r="445" spans="1:4" x14ac:dyDescent="0.2">
      <c r="A445" s="20">
        <f>+'Rainfall Data'!B444</f>
        <v>41737</v>
      </c>
      <c r="B445" s="11">
        <f>+'Rainfall Data'!C444</f>
        <v>0</v>
      </c>
      <c r="C445" s="23">
        <f t="shared" si="23"/>
        <v>44.2</v>
      </c>
      <c r="D445" s="25">
        <f t="shared" si="22"/>
        <v>201404</v>
      </c>
    </row>
    <row r="446" spans="1:4" x14ac:dyDescent="0.2">
      <c r="A446" s="20">
        <f>+'Rainfall Data'!B445</f>
        <v>41738</v>
      </c>
      <c r="B446" s="11">
        <f>+'Rainfall Data'!C445</f>
        <v>0</v>
      </c>
      <c r="C446" s="23">
        <f t="shared" si="23"/>
        <v>44.2</v>
      </c>
      <c r="D446" s="25">
        <f t="shared" si="22"/>
        <v>201404</v>
      </c>
    </row>
    <row r="447" spans="1:4" x14ac:dyDescent="0.2">
      <c r="A447" s="20">
        <f>+'Rainfall Data'!B446</f>
        <v>41739</v>
      </c>
      <c r="B447" s="11">
        <f>+'Rainfall Data'!C446</f>
        <v>0</v>
      </c>
      <c r="C447" s="23">
        <f t="shared" si="23"/>
        <v>44.2</v>
      </c>
      <c r="D447" s="25">
        <f t="shared" si="22"/>
        <v>201404</v>
      </c>
    </row>
    <row r="448" spans="1:4" x14ac:dyDescent="0.2">
      <c r="A448" s="20">
        <f>+'Rainfall Data'!B447</f>
        <v>41740</v>
      </c>
      <c r="B448" s="11">
        <f>+'Rainfall Data'!C447</f>
        <v>0</v>
      </c>
      <c r="C448" s="23">
        <f t="shared" si="23"/>
        <v>44.2</v>
      </c>
      <c r="D448" s="25">
        <f t="shared" si="22"/>
        <v>201404</v>
      </c>
    </row>
    <row r="449" spans="1:4" x14ac:dyDescent="0.2">
      <c r="A449" s="20">
        <f>+'Rainfall Data'!B448</f>
        <v>41741</v>
      </c>
      <c r="B449" s="11">
        <f>+'Rainfall Data'!C448</f>
        <v>0</v>
      </c>
      <c r="C449" s="23">
        <f t="shared" si="23"/>
        <v>44.2</v>
      </c>
      <c r="D449" s="25">
        <f t="shared" si="22"/>
        <v>201404</v>
      </c>
    </row>
    <row r="450" spans="1:4" x14ac:dyDescent="0.2">
      <c r="A450" s="20">
        <f>+'Rainfall Data'!B449</f>
        <v>41742</v>
      </c>
      <c r="B450" s="11">
        <f>+'Rainfall Data'!C449</f>
        <v>0</v>
      </c>
      <c r="C450" s="23">
        <f t="shared" ref="C450:C494" si="24">IF(B450="nd",0, IF(B450="T",0,B450))+C449</f>
        <v>44.2</v>
      </c>
      <c r="D450" s="25">
        <f t="shared" si="22"/>
        <v>201404</v>
      </c>
    </row>
    <row r="451" spans="1:4" x14ac:dyDescent="0.2">
      <c r="A451" s="20">
        <f>+'Rainfall Data'!B450</f>
        <v>41743</v>
      </c>
      <c r="B451" s="11">
        <f>+'Rainfall Data'!C450</f>
        <v>0</v>
      </c>
      <c r="C451" s="23">
        <f t="shared" si="24"/>
        <v>44.2</v>
      </c>
      <c r="D451" s="25">
        <f t="shared" si="22"/>
        <v>201404</v>
      </c>
    </row>
    <row r="452" spans="1:4" x14ac:dyDescent="0.2">
      <c r="A452" s="20">
        <f>+'Rainfall Data'!B451</f>
        <v>41744</v>
      </c>
      <c r="B452" s="11">
        <f>+'Rainfall Data'!C451</f>
        <v>0</v>
      </c>
      <c r="C452" s="23">
        <f t="shared" si="24"/>
        <v>44.2</v>
      </c>
      <c r="D452" s="25">
        <f t="shared" si="22"/>
        <v>201404</v>
      </c>
    </row>
    <row r="453" spans="1:4" x14ac:dyDescent="0.2">
      <c r="A453" s="20">
        <f>+'Rainfall Data'!B452</f>
        <v>41745</v>
      </c>
      <c r="B453" s="11">
        <f>+'Rainfall Data'!C452</f>
        <v>4.5999999999999996</v>
      </c>
      <c r="C453" s="23">
        <f t="shared" si="24"/>
        <v>48.800000000000004</v>
      </c>
      <c r="D453" s="25">
        <f t="shared" si="22"/>
        <v>201404</v>
      </c>
    </row>
    <row r="454" spans="1:4" x14ac:dyDescent="0.2">
      <c r="A454" s="20">
        <f>+'Rainfall Data'!B453</f>
        <v>41746</v>
      </c>
      <c r="B454" s="11">
        <f>+'Rainfall Data'!C453</f>
        <v>0</v>
      </c>
      <c r="C454" s="23">
        <f t="shared" si="24"/>
        <v>48.800000000000004</v>
      </c>
      <c r="D454" s="25">
        <f t="shared" si="22"/>
        <v>201404</v>
      </c>
    </row>
    <row r="455" spans="1:4" x14ac:dyDescent="0.2">
      <c r="A455" s="20">
        <f>+'Rainfall Data'!B454</f>
        <v>41747</v>
      </c>
      <c r="B455" s="11">
        <f>+'Rainfall Data'!C454</f>
        <v>0</v>
      </c>
      <c r="C455" s="23">
        <f t="shared" si="24"/>
        <v>48.800000000000004</v>
      </c>
      <c r="D455" s="25">
        <f t="shared" si="22"/>
        <v>201404</v>
      </c>
    </row>
    <row r="456" spans="1:4" x14ac:dyDescent="0.2">
      <c r="A456" s="20">
        <f>+'Rainfall Data'!B455</f>
        <v>41748</v>
      </c>
      <c r="B456" s="11">
        <f>+'Rainfall Data'!C455</f>
        <v>0</v>
      </c>
      <c r="C456" s="23">
        <f t="shared" si="24"/>
        <v>48.800000000000004</v>
      </c>
      <c r="D456" s="25">
        <f t="shared" si="22"/>
        <v>201404</v>
      </c>
    </row>
    <row r="457" spans="1:4" x14ac:dyDescent="0.2">
      <c r="A457" s="20">
        <f>+'Rainfall Data'!B456</f>
        <v>41749</v>
      </c>
      <c r="B457" s="11">
        <f>+'Rainfall Data'!C456</f>
        <v>0</v>
      </c>
      <c r="C457" s="23">
        <f t="shared" si="24"/>
        <v>48.800000000000004</v>
      </c>
      <c r="D457" s="25">
        <f t="shared" si="22"/>
        <v>201404</v>
      </c>
    </row>
    <row r="458" spans="1:4" x14ac:dyDescent="0.2">
      <c r="A458" s="20">
        <f>+'Rainfall Data'!B457</f>
        <v>41750</v>
      </c>
      <c r="B458" s="11">
        <f>+'Rainfall Data'!C457</f>
        <v>0</v>
      </c>
      <c r="C458" s="23">
        <f t="shared" si="24"/>
        <v>48.800000000000004</v>
      </c>
      <c r="D458" s="25">
        <f t="shared" si="22"/>
        <v>201404</v>
      </c>
    </row>
    <row r="459" spans="1:4" x14ac:dyDescent="0.2">
      <c r="A459" s="20">
        <f>+'Rainfall Data'!B458</f>
        <v>41751</v>
      </c>
      <c r="B459" s="11">
        <f>+'Rainfall Data'!C458</f>
        <v>0</v>
      </c>
      <c r="C459" s="23">
        <f t="shared" si="24"/>
        <v>48.800000000000004</v>
      </c>
      <c r="D459" s="25">
        <f t="shared" si="22"/>
        <v>201404</v>
      </c>
    </row>
    <row r="460" spans="1:4" x14ac:dyDescent="0.2">
      <c r="A460" s="20">
        <f>+'Rainfall Data'!B459</f>
        <v>41752</v>
      </c>
      <c r="B460" s="11">
        <f>+'Rainfall Data'!C459</f>
        <v>0</v>
      </c>
      <c r="C460" s="23">
        <f t="shared" si="24"/>
        <v>48.800000000000004</v>
      </c>
      <c r="D460" s="25">
        <f t="shared" si="22"/>
        <v>201404</v>
      </c>
    </row>
    <row r="461" spans="1:4" x14ac:dyDescent="0.2">
      <c r="A461" s="20">
        <f>+'Rainfall Data'!B460</f>
        <v>41753</v>
      </c>
      <c r="B461" s="11">
        <f>+'Rainfall Data'!C460</f>
        <v>0</v>
      </c>
      <c r="C461" s="23">
        <f t="shared" si="24"/>
        <v>48.800000000000004</v>
      </c>
      <c r="D461" s="25">
        <f t="shared" si="22"/>
        <v>201404</v>
      </c>
    </row>
    <row r="462" spans="1:4" x14ac:dyDescent="0.2">
      <c r="A462" s="20">
        <f>+'Rainfall Data'!B461</f>
        <v>41754</v>
      </c>
      <c r="B462" s="11">
        <f>+'Rainfall Data'!C461</f>
        <v>0</v>
      </c>
      <c r="C462" s="23">
        <f t="shared" si="24"/>
        <v>48.800000000000004</v>
      </c>
      <c r="D462" s="25">
        <f t="shared" si="22"/>
        <v>201404</v>
      </c>
    </row>
    <row r="463" spans="1:4" x14ac:dyDescent="0.2">
      <c r="A463" s="20">
        <f>+'Rainfall Data'!B462</f>
        <v>41755</v>
      </c>
      <c r="B463" s="11">
        <f>+'Rainfall Data'!C462</f>
        <v>0</v>
      </c>
      <c r="C463" s="23">
        <f t="shared" si="24"/>
        <v>48.800000000000004</v>
      </c>
      <c r="D463" s="25">
        <f t="shared" si="22"/>
        <v>201404</v>
      </c>
    </row>
    <row r="464" spans="1:4" x14ac:dyDescent="0.2">
      <c r="A464" s="20">
        <f>+'Rainfall Data'!B463</f>
        <v>41756</v>
      </c>
      <c r="B464" s="11">
        <f>+'Rainfall Data'!C463</f>
        <v>0</v>
      </c>
      <c r="C464" s="23">
        <f t="shared" si="24"/>
        <v>48.800000000000004</v>
      </c>
      <c r="D464" s="25">
        <f t="shared" si="22"/>
        <v>201404</v>
      </c>
    </row>
    <row r="465" spans="1:4" x14ac:dyDescent="0.2">
      <c r="A465" s="20">
        <f>+'Rainfall Data'!B464</f>
        <v>41757</v>
      </c>
      <c r="B465" s="11">
        <f>+'Rainfall Data'!C464</f>
        <v>0</v>
      </c>
      <c r="C465" s="23">
        <f t="shared" si="24"/>
        <v>48.800000000000004</v>
      </c>
      <c r="D465" s="25">
        <f t="shared" si="22"/>
        <v>201404</v>
      </c>
    </row>
    <row r="466" spans="1:4" x14ac:dyDescent="0.2">
      <c r="A466" s="20">
        <f>+'Rainfall Data'!B465</f>
        <v>41758</v>
      </c>
      <c r="B466" s="11">
        <f>+'Rainfall Data'!C465</f>
        <v>0</v>
      </c>
      <c r="C466" s="23">
        <f t="shared" si="24"/>
        <v>48.800000000000004</v>
      </c>
      <c r="D466" s="25">
        <f t="shared" si="22"/>
        <v>201404</v>
      </c>
    </row>
    <row r="467" spans="1:4" x14ac:dyDescent="0.2">
      <c r="A467" s="20">
        <f>+'Rainfall Data'!B466</f>
        <v>41759</v>
      </c>
      <c r="B467" s="11">
        <f>+'Rainfall Data'!C466</f>
        <v>0.9</v>
      </c>
      <c r="C467" s="23">
        <f t="shared" si="24"/>
        <v>49.7</v>
      </c>
      <c r="D467" s="25">
        <f t="shared" si="22"/>
        <v>201404</v>
      </c>
    </row>
    <row r="468" spans="1:4" x14ac:dyDescent="0.2">
      <c r="A468" s="20">
        <f>+'Rainfall Data'!B467</f>
        <v>41760</v>
      </c>
      <c r="B468" s="11">
        <f>+'Rainfall Data'!C467</f>
        <v>0.1</v>
      </c>
      <c r="C468" s="23">
        <f t="shared" si="24"/>
        <v>49.800000000000004</v>
      </c>
      <c r="D468" s="25">
        <f t="shared" si="22"/>
        <v>201405</v>
      </c>
    </row>
    <row r="469" spans="1:4" x14ac:dyDescent="0.2">
      <c r="A469" s="20">
        <f>+'Rainfall Data'!B468</f>
        <v>41761</v>
      </c>
      <c r="B469" s="11">
        <f>+'Rainfall Data'!C468</f>
        <v>0</v>
      </c>
      <c r="C469" s="23">
        <f t="shared" si="24"/>
        <v>49.800000000000004</v>
      </c>
      <c r="D469" s="25">
        <f t="shared" ref="D469:D498" si="25">+YEAR(A469)*100+MONTH(A469)</f>
        <v>201405</v>
      </c>
    </row>
    <row r="470" spans="1:4" x14ac:dyDescent="0.2">
      <c r="A470" s="20">
        <f>+'Rainfall Data'!B469</f>
        <v>41762</v>
      </c>
      <c r="B470" s="11">
        <f>+'Rainfall Data'!C469</f>
        <v>0</v>
      </c>
      <c r="C470" s="23">
        <f t="shared" si="24"/>
        <v>49.800000000000004</v>
      </c>
      <c r="D470" s="25">
        <f t="shared" si="25"/>
        <v>201405</v>
      </c>
    </row>
    <row r="471" spans="1:4" x14ac:dyDescent="0.2">
      <c r="A471" s="20">
        <f>+'Rainfall Data'!B470</f>
        <v>41763</v>
      </c>
      <c r="B471" s="11">
        <f>+'Rainfall Data'!C470</f>
        <v>0</v>
      </c>
      <c r="C471" s="23">
        <f t="shared" si="24"/>
        <v>49.800000000000004</v>
      </c>
      <c r="D471" s="25">
        <f t="shared" si="25"/>
        <v>201405</v>
      </c>
    </row>
    <row r="472" spans="1:4" x14ac:dyDescent="0.2">
      <c r="A472" s="20">
        <f>+'Rainfall Data'!B471</f>
        <v>41764</v>
      </c>
      <c r="B472" s="11">
        <f>+'Rainfall Data'!C471</f>
        <v>0</v>
      </c>
      <c r="C472" s="23">
        <f t="shared" si="24"/>
        <v>49.800000000000004</v>
      </c>
      <c r="D472" s="25">
        <f t="shared" si="25"/>
        <v>201405</v>
      </c>
    </row>
    <row r="473" spans="1:4" x14ac:dyDescent="0.2">
      <c r="A473" s="20">
        <f>+'Rainfall Data'!B472</f>
        <v>41765</v>
      </c>
      <c r="B473" s="11">
        <f>+'Rainfall Data'!C472</f>
        <v>0</v>
      </c>
      <c r="C473" s="23">
        <f t="shared" si="24"/>
        <v>49.800000000000004</v>
      </c>
      <c r="D473" s="25">
        <f t="shared" si="25"/>
        <v>201405</v>
      </c>
    </row>
    <row r="474" spans="1:4" x14ac:dyDescent="0.2">
      <c r="A474" s="20">
        <f>+'Rainfall Data'!B473</f>
        <v>41766</v>
      </c>
      <c r="B474" s="11">
        <f>+'Rainfall Data'!C473</f>
        <v>0</v>
      </c>
      <c r="C474" s="23">
        <f t="shared" si="24"/>
        <v>49.800000000000004</v>
      </c>
      <c r="D474" s="25">
        <f t="shared" si="25"/>
        <v>201405</v>
      </c>
    </row>
    <row r="475" spans="1:4" x14ac:dyDescent="0.2">
      <c r="A475" s="20">
        <f>+'Rainfall Data'!B474</f>
        <v>41767</v>
      </c>
      <c r="B475" s="11">
        <f>+'Rainfall Data'!C474</f>
        <v>0</v>
      </c>
      <c r="C475" s="23">
        <f t="shared" si="24"/>
        <v>49.800000000000004</v>
      </c>
      <c r="D475" s="25">
        <f t="shared" si="25"/>
        <v>201405</v>
      </c>
    </row>
    <row r="476" spans="1:4" x14ac:dyDescent="0.2">
      <c r="A476" s="20">
        <f>+'Rainfall Data'!B475</f>
        <v>41768</v>
      </c>
      <c r="B476" s="11">
        <f>+'Rainfall Data'!C475</f>
        <v>0</v>
      </c>
      <c r="C476" s="23">
        <f t="shared" si="24"/>
        <v>49.800000000000004</v>
      </c>
      <c r="D476" s="25">
        <f t="shared" si="25"/>
        <v>201405</v>
      </c>
    </row>
    <row r="477" spans="1:4" x14ac:dyDescent="0.2">
      <c r="A477" s="20">
        <f>+'Rainfall Data'!B476</f>
        <v>41769</v>
      </c>
      <c r="B477" s="11">
        <f>+'Rainfall Data'!C476</f>
        <v>0</v>
      </c>
      <c r="C477" s="23">
        <f t="shared" si="24"/>
        <v>49.800000000000004</v>
      </c>
      <c r="D477" s="25">
        <f t="shared" si="25"/>
        <v>201405</v>
      </c>
    </row>
    <row r="478" spans="1:4" x14ac:dyDescent="0.2">
      <c r="A478" s="20">
        <f>+'Rainfall Data'!B477</f>
        <v>41770</v>
      </c>
      <c r="B478" s="11">
        <f>+'Rainfall Data'!C477</f>
        <v>0</v>
      </c>
      <c r="C478" s="23">
        <f t="shared" si="24"/>
        <v>49.800000000000004</v>
      </c>
      <c r="D478" s="25">
        <f t="shared" si="25"/>
        <v>201405</v>
      </c>
    </row>
    <row r="479" spans="1:4" x14ac:dyDescent="0.2">
      <c r="A479" s="20">
        <f>+'Rainfall Data'!B478</f>
        <v>41771</v>
      </c>
      <c r="B479" s="11">
        <f>+'Rainfall Data'!C478</f>
        <v>0</v>
      </c>
      <c r="C479" s="23">
        <f t="shared" si="24"/>
        <v>49.800000000000004</v>
      </c>
      <c r="D479" s="25">
        <f t="shared" si="25"/>
        <v>201405</v>
      </c>
    </row>
    <row r="480" spans="1:4" x14ac:dyDescent="0.2">
      <c r="A480" s="20">
        <f>+'Rainfall Data'!B479</f>
        <v>41772</v>
      </c>
      <c r="B480" s="11">
        <f>+'Rainfall Data'!C479</f>
        <v>1.5</v>
      </c>
      <c r="C480" s="23">
        <f t="shared" si="24"/>
        <v>51.300000000000004</v>
      </c>
      <c r="D480" s="25">
        <f t="shared" si="25"/>
        <v>201405</v>
      </c>
    </row>
    <row r="481" spans="1:4" x14ac:dyDescent="0.2">
      <c r="A481" s="20">
        <f>+'Rainfall Data'!B480</f>
        <v>41773</v>
      </c>
      <c r="B481" s="11">
        <f>+'Rainfall Data'!C480</f>
        <v>0</v>
      </c>
      <c r="C481" s="23">
        <f t="shared" si="24"/>
        <v>51.300000000000004</v>
      </c>
      <c r="D481" s="25">
        <f t="shared" si="25"/>
        <v>201405</v>
      </c>
    </row>
    <row r="482" spans="1:4" x14ac:dyDescent="0.2">
      <c r="A482" s="20">
        <f>+'Rainfall Data'!B481</f>
        <v>41774</v>
      </c>
      <c r="B482" s="11">
        <f>+'Rainfall Data'!C481</f>
        <v>0.1</v>
      </c>
      <c r="C482" s="23">
        <f t="shared" si="24"/>
        <v>51.400000000000006</v>
      </c>
      <c r="D482" s="25">
        <f t="shared" si="25"/>
        <v>201405</v>
      </c>
    </row>
    <row r="483" spans="1:4" x14ac:dyDescent="0.2">
      <c r="A483" s="20">
        <f>+'Rainfall Data'!B482</f>
        <v>41775</v>
      </c>
      <c r="B483" s="11">
        <f>+'Rainfall Data'!C482</f>
        <v>0</v>
      </c>
      <c r="C483" s="23">
        <f t="shared" si="24"/>
        <v>51.400000000000006</v>
      </c>
      <c r="D483" s="25">
        <f t="shared" si="25"/>
        <v>201405</v>
      </c>
    </row>
    <row r="484" spans="1:4" x14ac:dyDescent="0.2">
      <c r="A484" s="20">
        <f>+'Rainfall Data'!B483</f>
        <v>41776</v>
      </c>
      <c r="B484" s="11">
        <f>+'Rainfall Data'!C483</f>
        <v>0.2</v>
      </c>
      <c r="C484" s="23">
        <f t="shared" si="24"/>
        <v>51.600000000000009</v>
      </c>
      <c r="D484" s="25">
        <f t="shared" si="25"/>
        <v>201405</v>
      </c>
    </row>
    <row r="485" spans="1:4" x14ac:dyDescent="0.2">
      <c r="A485" s="20">
        <f>+'Rainfall Data'!B484</f>
        <v>41777</v>
      </c>
      <c r="B485" s="11">
        <f>+'Rainfall Data'!C484</f>
        <v>0</v>
      </c>
      <c r="C485" s="23">
        <f t="shared" si="24"/>
        <v>51.600000000000009</v>
      </c>
      <c r="D485" s="25">
        <f t="shared" si="25"/>
        <v>201405</v>
      </c>
    </row>
    <row r="486" spans="1:4" x14ac:dyDescent="0.2">
      <c r="A486" s="20">
        <f>+'Rainfall Data'!B485</f>
        <v>41778</v>
      </c>
      <c r="B486" s="11">
        <f>+'Rainfall Data'!C485</f>
        <v>0</v>
      </c>
      <c r="C486" s="23">
        <f t="shared" si="24"/>
        <v>51.600000000000009</v>
      </c>
      <c r="D486" s="25">
        <f t="shared" si="25"/>
        <v>201405</v>
      </c>
    </row>
    <row r="487" spans="1:4" x14ac:dyDescent="0.2">
      <c r="A487" s="20">
        <f>+'Rainfall Data'!B486</f>
        <v>41779</v>
      </c>
      <c r="B487" s="11">
        <f>+'Rainfall Data'!C486</f>
        <v>0.7</v>
      </c>
      <c r="C487" s="23">
        <f t="shared" si="24"/>
        <v>52.300000000000011</v>
      </c>
      <c r="D487" s="25">
        <f t="shared" si="25"/>
        <v>201405</v>
      </c>
    </row>
    <row r="488" spans="1:4" x14ac:dyDescent="0.2">
      <c r="A488" s="20">
        <f>+'Rainfall Data'!B487</f>
        <v>41780</v>
      </c>
      <c r="B488" s="11">
        <f>+'Rainfall Data'!C487</f>
        <v>0.8</v>
      </c>
      <c r="C488" s="23">
        <f t="shared" si="24"/>
        <v>53.100000000000009</v>
      </c>
      <c r="D488" s="25">
        <f t="shared" si="25"/>
        <v>201405</v>
      </c>
    </row>
    <row r="489" spans="1:4" x14ac:dyDescent="0.2">
      <c r="A489" s="20">
        <f>+'Rainfall Data'!B488</f>
        <v>41781</v>
      </c>
      <c r="B489" s="11">
        <f>+'Rainfall Data'!C488</f>
        <v>0.1</v>
      </c>
      <c r="C489" s="23">
        <f t="shared" si="24"/>
        <v>53.20000000000001</v>
      </c>
      <c r="D489" s="25">
        <f t="shared" si="25"/>
        <v>201405</v>
      </c>
    </row>
    <row r="490" spans="1:4" x14ac:dyDescent="0.2">
      <c r="A490" s="20">
        <f>+'Rainfall Data'!B489</f>
        <v>41782</v>
      </c>
      <c r="B490" s="11">
        <f>+'Rainfall Data'!C489</f>
        <v>0</v>
      </c>
      <c r="C490" s="23">
        <f t="shared" si="24"/>
        <v>53.20000000000001</v>
      </c>
      <c r="D490" s="25">
        <f t="shared" si="25"/>
        <v>201405</v>
      </c>
    </row>
    <row r="491" spans="1:4" x14ac:dyDescent="0.2">
      <c r="A491" s="20">
        <f>+'Rainfall Data'!B490</f>
        <v>41783</v>
      </c>
      <c r="B491" s="11">
        <f>+'Rainfall Data'!C490</f>
        <v>0.2</v>
      </c>
      <c r="C491" s="23">
        <f t="shared" si="24"/>
        <v>53.400000000000013</v>
      </c>
      <c r="D491" s="25">
        <f t="shared" si="25"/>
        <v>201405</v>
      </c>
    </row>
    <row r="492" spans="1:4" x14ac:dyDescent="0.2">
      <c r="A492" s="20">
        <f>+'Rainfall Data'!B491</f>
        <v>41784</v>
      </c>
      <c r="B492" s="11">
        <f>+'Rainfall Data'!C491</f>
        <v>0</v>
      </c>
      <c r="C492" s="23">
        <f t="shared" si="24"/>
        <v>53.400000000000013</v>
      </c>
      <c r="D492" s="25">
        <f t="shared" si="25"/>
        <v>201405</v>
      </c>
    </row>
    <row r="493" spans="1:4" x14ac:dyDescent="0.2">
      <c r="A493" s="20">
        <f>+'Rainfall Data'!B492</f>
        <v>41785</v>
      </c>
      <c r="B493" s="11">
        <f>+'Rainfall Data'!C492</f>
        <v>0.8</v>
      </c>
      <c r="C493" s="23">
        <f t="shared" si="24"/>
        <v>54.20000000000001</v>
      </c>
      <c r="D493" s="25">
        <f t="shared" si="25"/>
        <v>201405</v>
      </c>
    </row>
    <row r="494" spans="1:4" x14ac:dyDescent="0.2">
      <c r="A494" s="20">
        <f>+'Rainfall Data'!B493</f>
        <v>41786</v>
      </c>
      <c r="B494" s="11">
        <f>+'Rainfall Data'!C493</f>
        <v>0</v>
      </c>
      <c r="C494" s="23">
        <f t="shared" si="24"/>
        <v>54.20000000000001</v>
      </c>
      <c r="D494" s="25">
        <f t="shared" si="25"/>
        <v>201405</v>
      </c>
    </row>
    <row r="495" spans="1:4" x14ac:dyDescent="0.2">
      <c r="A495" s="20">
        <f>+'Rainfall Data'!B494</f>
        <v>41787</v>
      </c>
      <c r="B495" s="11">
        <f>+'Rainfall Data'!C494</f>
        <v>0</v>
      </c>
      <c r="C495" s="23">
        <f t="shared" ref="C495:C498" si="26">IF(B495="nd",0, IF(B495="T",0,B495))+C494</f>
        <v>54.20000000000001</v>
      </c>
      <c r="D495" s="25">
        <f t="shared" si="25"/>
        <v>201405</v>
      </c>
    </row>
    <row r="496" spans="1:4" x14ac:dyDescent="0.2">
      <c r="A496" s="20">
        <f>+'Rainfall Data'!B495</f>
        <v>41788</v>
      </c>
      <c r="B496" s="11">
        <f>+'Rainfall Data'!C495</f>
        <v>0.6</v>
      </c>
      <c r="C496" s="23">
        <f t="shared" si="26"/>
        <v>54.800000000000011</v>
      </c>
      <c r="D496" s="25">
        <f t="shared" si="25"/>
        <v>201405</v>
      </c>
    </row>
    <row r="497" spans="1:4" x14ac:dyDescent="0.2">
      <c r="A497" s="20">
        <f>+'Rainfall Data'!B496</f>
        <v>41789</v>
      </c>
      <c r="B497" s="11">
        <f>+'Rainfall Data'!C496</f>
        <v>1.6</v>
      </c>
      <c r="C497" s="23">
        <f t="shared" si="26"/>
        <v>56.400000000000013</v>
      </c>
      <c r="D497" s="25">
        <f t="shared" si="25"/>
        <v>201405</v>
      </c>
    </row>
    <row r="498" spans="1:4" x14ac:dyDescent="0.2">
      <c r="A498" s="20">
        <f>+'Rainfall Data'!B497</f>
        <v>41790</v>
      </c>
      <c r="B498" s="11">
        <f>+'Rainfall Data'!C497</f>
        <v>0.3</v>
      </c>
      <c r="C498" s="23">
        <f t="shared" si="26"/>
        <v>56.70000000000001</v>
      </c>
      <c r="D498" s="25">
        <f t="shared" si="25"/>
        <v>201405</v>
      </c>
    </row>
  </sheetData>
  <phoneticPr fontId="24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showGridLines="0" tabSelected="1" workbookViewId="0">
      <selection sqref="A1:M1"/>
    </sheetView>
  </sheetViews>
  <sheetFormatPr defaultRowHeight="15" x14ac:dyDescent="0.25"/>
  <sheetData>
    <row r="1" spans="1:13" ht="26.25" x14ac:dyDescent="0.4">
      <c r="A1" s="44" t="str">
        <f>+'Rainfall Totals'!B1 &amp; " " &amp; 'Rainfall Totals'!B2</f>
        <v>AD01 ADDAX - Automatic Weather Station 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</sheetData>
  <mergeCells count="1">
    <mergeCell ref="A1:M1"/>
  </mergeCells>
  <phoneticPr fontId="2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2014-01-20T17:57:37Z</cp:lastPrinted>
  <dcterms:created xsi:type="dcterms:W3CDTF">2013-01-13T18:28:41Z</dcterms:created>
  <dcterms:modified xsi:type="dcterms:W3CDTF">2014-09-10T08:39:12Z</dcterms:modified>
</cp:coreProperties>
</file>