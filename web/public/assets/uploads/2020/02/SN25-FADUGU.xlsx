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ter\Documents\PD Hydro\CA01_ADAM_SMITH\SL DATA PROCESSING\C03. Data - Site Records (Final DRAFTS)\Project Data\"/>
    </mc:Choice>
  </mc:AlternateContent>
  <bookViews>
    <workbookView xWindow="0" yWindow="36" windowWidth="11592" windowHeight="3780" activeTab="2"/>
  </bookViews>
  <sheets>
    <sheet name="Rainfall Data" sheetId="7" r:id="rId1"/>
    <sheet name="Rainfall Totals" sheetId="3" r:id="rId2"/>
    <sheet name="Report Graphs" sheetId="2" r:id="rId3"/>
  </sheets>
  <definedNames>
    <definedName name="_xlnm.Print_Titles" localSheetId="1">'Rainfall Totals'!$16:$19</definedName>
  </definedNames>
  <calcPr calcId="171027"/>
</workbook>
</file>

<file path=xl/calcChain.xml><?xml version="1.0" encoding="utf-8"?>
<calcChain xmlns="http://schemas.openxmlformats.org/spreadsheetml/2006/main">
  <c r="H44" i="3" l="1"/>
  <c r="I43" i="3"/>
  <c r="J43" i="3"/>
  <c r="G43" i="3" s="1"/>
  <c r="H43" i="3" s="1"/>
  <c r="I44" i="3"/>
  <c r="J44" i="3"/>
  <c r="G44" i="3" s="1"/>
  <c r="I45" i="3"/>
  <c r="J45" i="3"/>
  <c r="G45" i="3" s="1"/>
  <c r="I46" i="3"/>
  <c r="J46" i="3"/>
  <c r="G46" i="3" s="1"/>
  <c r="I47" i="3"/>
  <c r="J47" i="3"/>
  <c r="G47" i="3" s="1"/>
  <c r="I48" i="3"/>
  <c r="J48" i="3"/>
  <c r="G48" i="3" s="1"/>
  <c r="I49" i="3"/>
  <c r="J49" i="3"/>
  <c r="G49" i="3" s="1"/>
  <c r="I50" i="3"/>
  <c r="J50" i="3"/>
  <c r="G50" i="3" s="1"/>
  <c r="I51" i="3"/>
  <c r="J51" i="3"/>
  <c r="G51" i="3" s="1"/>
  <c r="I52" i="3"/>
  <c r="J52" i="3"/>
  <c r="G52" i="3" s="1"/>
  <c r="A876" i="3"/>
  <c r="B876" i="3"/>
  <c r="C876" i="3" s="1"/>
  <c r="D876" i="3"/>
  <c r="A877" i="3"/>
  <c r="B877" i="3"/>
  <c r="D877" i="3"/>
  <c r="A878" i="3"/>
  <c r="B878" i="3"/>
  <c r="D878" i="3"/>
  <c r="A879" i="3"/>
  <c r="B879" i="3"/>
  <c r="D879" i="3"/>
  <c r="A880" i="3"/>
  <c r="B880" i="3"/>
  <c r="D880" i="3"/>
  <c r="A881" i="3"/>
  <c r="B881" i="3"/>
  <c r="D881" i="3"/>
  <c r="A882" i="3"/>
  <c r="B882" i="3"/>
  <c r="D882" i="3"/>
  <c r="A883" i="3"/>
  <c r="B883" i="3"/>
  <c r="D883" i="3"/>
  <c r="A884" i="3"/>
  <c r="B884" i="3"/>
  <c r="D884" i="3"/>
  <c r="A885" i="3"/>
  <c r="B885" i="3"/>
  <c r="D885" i="3"/>
  <c r="A886" i="3"/>
  <c r="B886" i="3"/>
  <c r="D886" i="3"/>
  <c r="A887" i="3"/>
  <c r="B887" i="3"/>
  <c r="D887" i="3"/>
  <c r="A888" i="3"/>
  <c r="B888" i="3"/>
  <c r="D888" i="3"/>
  <c r="A889" i="3"/>
  <c r="B889" i="3"/>
  <c r="D889" i="3"/>
  <c r="A890" i="3"/>
  <c r="B890" i="3"/>
  <c r="D890" i="3"/>
  <c r="A891" i="3"/>
  <c r="B891" i="3"/>
  <c r="D891" i="3"/>
  <c r="A892" i="3"/>
  <c r="B892" i="3"/>
  <c r="D892" i="3"/>
  <c r="A893" i="3"/>
  <c r="B893" i="3"/>
  <c r="D893" i="3"/>
  <c r="A894" i="3"/>
  <c r="B894" i="3"/>
  <c r="D894" i="3"/>
  <c r="A895" i="3"/>
  <c r="B895" i="3"/>
  <c r="D895" i="3"/>
  <c r="A896" i="3"/>
  <c r="B896" i="3"/>
  <c r="D896" i="3"/>
  <c r="A897" i="3"/>
  <c r="B897" i="3"/>
  <c r="D897" i="3"/>
  <c r="A898" i="3"/>
  <c r="B898" i="3"/>
  <c r="D898" i="3"/>
  <c r="A899" i="3"/>
  <c r="B899" i="3"/>
  <c r="D899" i="3"/>
  <c r="A900" i="3"/>
  <c r="B900" i="3"/>
  <c r="D900" i="3"/>
  <c r="A901" i="3"/>
  <c r="B901" i="3"/>
  <c r="D901" i="3"/>
  <c r="A902" i="3"/>
  <c r="B902" i="3"/>
  <c r="D902" i="3"/>
  <c r="A903" i="3"/>
  <c r="B903" i="3"/>
  <c r="D903" i="3"/>
  <c r="A850" i="3"/>
  <c r="B850" i="3"/>
  <c r="C850" i="3" s="1"/>
  <c r="D850" i="3"/>
  <c r="A851" i="3"/>
  <c r="B851" i="3"/>
  <c r="D851" i="3"/>
  <c r="A852" i="3"/>
  <c r="B852" i="3"/>
  <c r="D852" i="3"/>
  <c r="A853" i="3"/>
  <c r="B853" i="3"/>
  <c r="D853" i="3"/>
  <c r="A854" i="3"/>
  <c r="B854" i="3"/>
  <c r="D854" i="3"/>
  <c r="A855" i="3"/>
  <c r="B855" i="3"/>
  <c r="D855" i="3"/>
  <c r="A856" i="3"/>
  <c r="B856" i="3"/>
  <c r="D856" i="3"/>
  <c r="A857" i="3"/>
  <c r="B857" i="3"/>
  <c r="D857" i="3"/>
  <c r="A858" i="3"/>
  <c r="B858" i="3"/>
  <c r="D858" i="3"/>
  <c r="A859" i="3"/>
  <c r="B859" i="3"/>
  <c r="D859" i="3"/>
  <c r="A860" i="3"/>
  <c r="B860" i="3"/>
  <c r="D860" i="3"/>
  <c r="A861" i="3"/>
  <c r="B861" i="3"/>
  <c r="D861" i="3"/>
  <c r="A862" i="3"/>
  <c r="B862" i="3"/>
  <c r="D862" i="3"/>
  <c r="A863" i="3"/>
  <c r="B863" i="3"/>
  <c r="D863" i="3"/>
  <c r="A864" i="3"/>
  <c r="B864" i="3"/>
  <c r="D864" i="3"/>
  <c r="A865" i="3"/>
  <c r="B865" i="3"/>
  <c r="D865" i="3"/>
  <c r="A866" i="3"/>
  <c r="B866" i="3"/>
  <c r="D866" i="3"/>
  <c r="A867" i="3"/>
  <c r="B867" i="3"/>
  <c r="D867" i="3"/>
  <c r="A868" i="3"/>
  <c r="B868" i="3"/>
  <c r="D868" i="3"/>
  <c r="A869" i="3"/>
  <c r="B869" i="3"/>
  <c r="D869" i="3"/>
  <c r="A870" i="3"/>
  <c r="B870" i="3"/>
  <c r="D870" i="3"/>
  <c r="A871" i="3"/>
  <c r="B871" i="3"/>
  <c r="D871" i="3"/>
  <c r="A872" i="3"/>
  <c r="B872" i="3"/>
  <c r="D872" i="3"/>
  <c r="A873" i="3"/>
  <c r="B873" i="3"/>
  <c r="D873" i="3"/>
  <c r="A874" i="3"/>
  <c r="B874" i="3"/>
  <c r="D874" i="3"/>
  <c r="A875" i="3"/>
  <c r="B875" i="3"/>
  <c r="D875" i="3"/>
  <c r="A661" i="3"/>
  <c r="B661" i="3"/>
  <c r="C661" i="3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D661" i="3"/>
  <c r="A662" i="3"/>
  <c r="B662" i="3"/>
  <c r="D662" i="3"/>
  <c r="A663" i="3"/>
  <c r="B663" i="3"/>
  <c r="D663" i="3"/>
  <c r="A664" i="3"/>
  <c r="B664" i="3"/>
  <c r="D664" i="3"/>
  <c r="A665" i="3"/>
  <c r="B665" i="3"/>
  <c r="D665" i="3"/>
  <c r="A666" i="3"/>
  <c r="B666" i="3"/>
  <c r="D666" i="3"/>
  <c r="A667" i="3"/>
  <c r="B667" i="3"/>
  <c r="D667" i="3"/>
  <c r="A668" i="3"/>
  <c r="B668" i="3"/>
  <c r="D668" i="3"/>
  <c r="A669" i="3"/>
  <c r="B669" i="3"/>
  <c r="D669" i="3"/>
  <c r="A670" i="3"/>
  <c r="B670" i="3"/>
  <c r="D670" i="3"/>
  <c r="A671" i="3"/>
  <c r="B671" i="3"/>
  <c r="D671" i="3"/>
  <c r="A672" i="3"/>
  <c r="B672" i="3"/>
  <c r="D672" i="3"/>
  <c r="A673" i="3"/>
  <c r="B673" i="3"/>
  <c r="D673" i="3"/>
  <c r="A674" i="3"/>
  <c r="B674" i="3"/>
  <c r="D674" i="3"/>
  <c r="A675" i="3"/>
  <c r="B675" i="3"/>
  <c r="D675" i="3"/>
  <c r="A676" i="3"/>
  <c r="B676" i="3"/>
  <c r="D676" i="3"/>
  <c r="A677" i="3"/>
  <c r="B677" i="3"/>
  <c r="D677" i="3"/>
  <c r="A678" i="3"/>
  <c r="B678" i="3"/>
  <c r="D678" i="3"/>
  <c r="A679" i="3"/>
  <c r="B679" i="3"/>
  <c r="D679" i="3"/>
  <c r="A680" i="3"/>
  <c r="B680" i="3"/>
  <c r="D680" i="3"/>
  <c r="A681" i="3"/>
  <c r="B681" i="3"/>
  <c r="D681" i="3"/>
  <c r="A682" i="3"/>
  <c r="B682" i="3"/>
  <c r="D682" i="3"/>
  <c r="A683" i="3"/>
  <c r="B683" i="3"/>
  <c r="D683" i="3"/>
  <c r="A684" i="3"/>
  <c r="B684" i="3"/>
  <c r="D684" i="3"/>
  <c r="A685" i="3"/>
  <c r="B685" i="3"/>
  <c r="D685" i="3"/>
  <c r="A686" i="3"/>
  <c r="B686" i="3"/>
  <c r="D686" i="3"/>
  <c r="A687" i="3"/>
  <c r="B687" i="3"/>
  <c r="D687" i="3"/>
  <c r="A688" i="3"/>
  <c r="B688" i="3"/>
  <c r="D688" i="3"/>
  <c r="A689" i="3"/>
  <c r="B689" i="3"/>
  <c r="D689" i="3"/>
  <c r="A690" i="3"/>
  <c r="B690" i="3"/>
  <c r="D690" i="3"/>
  <c r="A691" i="3"/>
  <c r="B691" i="3"/>
  <c r="D691" i="3"/>
  <c r="A692" i="3"/>
  <c r="B692" i="3"/>
  <c r="D692" i="3"/>
  <c r="A693" i="3"/>
  <c r="B693" i="3"/>
  <c r="D693" i="3"/>
  <c r="A694" i="3"/>
  <c r="B694" i="3"/>
  <c r="D694" i="3"/>
  <c r="A695" i="3"/>
  <c r="B695" i="3"/>
  <c r="D695" i="3"/>
  <c r="A696" i="3"/>
  <c r="B696" i="3"/>
  <c r="D696" i="3"/>
  <c r="A697" i="3"/>
  <c r="B697" i="3"/>
  <c r="D697" i="3"/>
  <c r="A698" i="3"/>
  <c r="B698" i="3"/>
  <c r="D698" i="3"/>
  <c r="A699" i="3"/>
  <c r="B699" i="3"/>
  <c r="D699" i="3"/>
  <c r="A700" i="3"/>
  <c r="B700" i="3"/>
  <c r="D700" i="3"/>
  <c r="A701" i="3"/>
  <c r="B701" i="3"/>
  <c r="D701" i="3"/>
  <c r="A702" i="3"/>
  <c r="B702" i="3"/>
  <c r="D702" i="3"/>
  <c r="A703" i="3"/>
  <c r="B703" i="3"/>
  <c r="D703" i="3"/>
  <c r="A704" i="3"/>
  <c r="B704" i="3"/>
  <c r="D704" i="3"/>
  <c r="A705" i="3"/>
  <c r="B705" i="3"/>
  <c r="D705" i="3"/>
  <c r="A706" i="3"/>
  <c r="B706" i="3"/>
  <c r="D706" i="3"/>
  <c r="A707" i="3"/>
  <c r="B707" i="3"/>
  <c r="D707" i="3"/>
  <c r="A708" i="3"/>
  <c r="B708" i="3"/>
  <c r="D708" i="3"/>
  <c r="A709" i="3"/>
  <c r="B709" i="3"/>
  <c r="D709" i="3"/>
  <c r="A710" i="3"/>
  <c r="B710" i="3"/>
  <c r="D710" i="3"/>
  <c r="A711" i="3"/>
  <c r="B711" i="3"/>
  <c r="D711" i="3"/>
  <c r="A712" i="3"/>
  <c r="B712" i="3"/>
  <c r="D712" i="3"/>
  <c r="A713" i="3"/>
  <c r="B713" i="3"/>
  <c r="D713" i="3"/>
  <c r="A714" i="3"/>
  <c r="B714" i="3"/>
  <c r="D714" i="3"/>
  <c r="A715" i="3"/>
  <c r="B715" i="3"/>
  <c r="D715" i="3"/>
  <c r="A716" i="3"/>
  <c r="B716" i="3"/>
  <c r="D716" i="3"/>
  <c r="A717" i="3"/>
  <c r="B717" i="3"/>
  <c r="D717" i="3"/>
  <c r="A718" i="3"/>
  <c r="B718" i="3"/>
  <c r="D718" i="3"/>
  <c r="A719" i="3"/>
  <c r="B719" i="3"/>
  <c r="D719" i="3"/>
  <c r="A720" i="3"/>
  <c r="B720" i="3"/>
  <c r="D720" i="3"/>
  <c r="A721" i="3"/>
  <c r="B721" i="3"/>
  <c r="D721" i="3"/>
  <c r="A722" i="3"/>
  <c r="B722" i="3"/>
  <c r="D722" i="3"/>
  <c r="A723" i="3"/>
  <c r="B723" i="3"/>
  <c r="D723" i="3"/>
  <c r="A724" i="3"/>
  <c r="B724" i="3"/>
  <c r="D724" i="3"/>
  <c r="A725" i="3"/>
  <c r="B725" i="3"/>
  <c r="D725" i="3"/>
  <c r="A726" i="3"/>
  <c r="B726" i="3"/>
  <c r="D726" i="3"/>
  <c r="A727" i="3"/>
  <c r="B727" i="3"/>
  <c r="D727" i="3"/>
  <c r="A728" i="3"/>
  <c r="B728" i="3"/>
  <c r="D728" i="3"/>
  <c r="A729" i="3"/>
  <c r="B729" i="3"/>
  <c r="D729" i="3"/>
  <c r="A730" i="3"/>
  <c r="B730" i="3"/>
  <c r="D730" i="3"/>
  <c r="A731" i="3"/>
  <c r="B731" i="3"/>
  <c r="D731" i="3"/>
  <c r="A732" i="3"/>
  <c r="B732" i="3"/>
  <c r="D732" i="3"/>
  <c r="A733" i="3"/>
  <c r="B733" i="3"/>
  <c r="D733" i="3"/>
  <c r="A734" i="3"/>
  <c r="B734" i="3"/>
  <c r="D734" i="3"/>
  <c r="A735" i="3"/>
  <c r="B735" i="3"/>
  <c r="D735" i="3"/>
  <c r="A736" i="3"/>
  <c r="B736" i="3"/>
  <c r="D736" i="3"/>
  <c r="A737" i="3"/>
  <c r="B737" i="3"/>
  <c r="D737" i="3"/>
  <c r="A738" i="3"/>
  <c r="B738" i="3"/>
  <c r="D738" i="3"/>
  <c r="A739" i="3"/>
  <c r="B739" i="3"/>
  <c r="D739" i="3"/>
  <c r="A740" i="3"/>
  <c r="B740" i="3"/>
  <c r="D740" i="3"/>
  <c r="A741" i="3"/>
  <c r="B741" i="3"/>
  <c r="D741" i="3"/>
  <c r="A742" i="3"/>
  <c r="B742" i="3"/>
  <c r="D742" i="3"/>
  <c r="A743" i="3"/>
  <c r="B743" i="3"/>
  <c r="D743" i="3"/>
  <c r="A744" i="3"/>
  <c r="B744" i="3"/>
  <c r="D744" i="3"/>
  <c r="A745" i="3"/>
  <c r="B745" i="3"/>
  <c r="D745" i="3"/>
  <c r="A746" i="3"/>
  <c r="B746" i="3"/>
  <c r="D746" i="3"/>
  <c r="A747" i="3"/>
  <c r="B747" i="3"/>
  <c r="D747" i="3"/>
  <c r="A748" i="3"/>
  <c r="B748" i="3"/>
  <c r="D748" i="3"/>
  <c r="A749" i="3"/>
  <c r="B749" i="3"/>
  <c r="D749" i="3"/>
  <c r="A750" i="3"/>
  <c r="B750" i="3"/>
  <c r="D750" i="3"/>
  <c r="A751" i="3"/>
  <c r="B751" i="3"/>
  <c r="D751" i="3"/>
  <c r="A752" i="3"/>
  <c r="B752" i="3"/>
  <c r="D752" i="3"/>
  <c r="A753" i="3"/>
  <c r="B753" i="3"/>
  <c r="D753" i="3"/>
  <c r="A754" i="3"/>
  <c r="B754" i="3"/>
  <c r="D754" i="3"/>
  <c r="A755" i="3"/>
  <c r="B755" i="3"/>
  <c r="D755" i="3"/>
  <c r="A756" i="3"/>
  <c r="B756" i="3"/>
  <c r="D756" i="3"/>
  <c r="A757" i="3"/>
  <c r="B757" i="3"/>
  <c r="D757" i="3"/>
  <c r="A758" i="3"/>
  <c r="B758" i="3"/>
  <c r="D758" i="3"/>
  <c r="A759" i="3"/>
  <c r="B759" i="3"/>
  <c r="D759" i="3"/>
  <c r="A760" i="3"/>
  <c r="B760" i="3"/>
  <c r="D760" i="3"/>
  <c r="A761" i="3"/>
  <c r="B761" i="3"/>
  <c r="D761" i="3"/>
  <c r="A762" i="3"/>
  <c r="B762" i="3"/>
  <c r="D762" i="3"/>
  <c r="A763" i="3"/>
  <c r="B763" i="3"/>
  <c r="D763" i="3"/>
  <c r="A764" i="3"/>
  <c r="B764" i="3"/>
  <c r="D764" i="3"/>
  <c r="A765" i="3"/>
  <c r="B765" i="3"/>
  <c r="D765" i="3"/>
  <c r="A766" i="3"/>
  <c r="B766" i="3"/>
  <c r="D766" i="3"/>
  <c r="A767" i="3"/>
  <c r="B767" i="3"/>
  <c r="D767" i="3"/>
  <c r="A768" i="3"/>
  <c r="B768" i="3"/>
  <c r="D768" i="3"/>
  <c r="A769" i="3"/>
  <c r="B769" i="3"/>
  <c r="D769" i="3"/>
  <c r="A770" i="3"/>
  <c r="B770" i="3"/>
  <c r="D770" i="3"/>
  <c r="A771" i="3"/>
  <c r="B771" i="3"/>
  <c r="D771" i="3"/>
  <c r="A772" i="3"/>
  <c r="B772" i="3"/>
  <c r="D772" i="3"/>
  <c r="A773" i="3"/>
  <c r="B773" i="3"/>
  <c r="D773" i="3"/>
  <c r="A774" i="3"/>
  <c r="B774" i="3"/>
  <c r="D774" i="3"/>
  <c r="A775" i="3"/>
  <c r="B775" i="3"/>
  <c r="D775" i="3"/>
  <c r="A776" i="3"/>
  <c r="B776" i="3"/>
  <c r="D776" i="3"/>
  <c r="A777" i="3"/>
  <c r="B777" i="3"/>
  <c r="D777" i="3"/>
  <c r="A778" i="3"/>
  <c r="B778" i="3"/>
  <c r="D778" i="3"/>
  <c r="A779" i="3"/>
  <c r="B779" i="3"/>
  <c r="D779" i="3"/>
  <c r="A780" i="3"/>
  <c r="B780" i="3"/>
  <c r="D780" i="3"/>
  <c r="A781" i="3"/>
  <c r="B781" i="3"/>
  <c r="D781" i="3"/>
  <c r="A782" i="3"/>
  <c r="B782" i="3"/>
  <c r="D782" i="3"/>
  <c r="A783" i="3"/>
  <c r="B783" i="3"/>
  <c r="D783" i="3"/>
  <c r="A784" i="3"/>
  <c r="B784" i="3"/>
  <c r="D784" i="3"/>
  <c r="A785" i="3"/>
  <c r="B785" i="3"/>
  <c r="D785" i="3"/>
  <c r="A786" i="3"/>
  <c r="B786" i="3"/>
  <c r="D786" i="3"/>
  <c r="A787" i="3"/>
  <c r="B787" i="3"/>
  <c r="D787" i="3"/>
  <c r="A788" i="3"/>
  <c r="B788" i="3"/>
  <c r="D788" i="3"/>
  <c r="A789" i="3"/>
  <c r="B789" i="3"/>
  <c r="D789" i="3"/>
  <c r="A790" i="3"/>
  <c r="B790" i="3"/>
  <c r="D790" i="3"/>
  <c r="A791" i="3"/>
  <c r="B791" i="3"/>
  <c r="D791" i="3"/>
  <c r="A792" i="3"/>
  <c r="B792" i="3"/>
  <c r="D792" i="3"/>
  <c r="A793" i="3"/>
  <c r="B793" i="3"/>
  <c r="D793" i="3"/>
  <c r="A794" i="3"/>
  <c r="B794" i="3"/>
  <c r="D794" i="3"/>
  <c r="A795" i="3"/>
  <c r="B795" i="3"/>
  <c r="D795" i="3"/>
  <c r="A796" i="3"/>
  <c r="B796" i="3"/>
  <c r="D796" i="3"/>
  <c r="A797" i="3"/>
  <c r="B797" i="3"/>
  <c r="D797" i="3"/>
  <c r="A798" i="3"/>
  <c r="B798" i="3"/>
  <c r="D798" i="3"/>
  <c r="A799" i="3"/>
  <c r="B799" i="3"/>
  <c r="D799" i="3"/>
  <c r="A800" i="3"/>
  <c r="B800" i="3"/>
  <c r="D800" i="3"/>
  <c r="A801" i="3"/>
  <c r="B801" i="3"/>
  <c r="D801" i="3"/>
  <c r="A802" i="3"/>
  <c r="B802" i="3"/>
  <c r="D802" i="3"/>
  <c r="A803" i="3"/>
  <c r="B803" i="3"/>
  <c r="D803" i="3"/>
  <c r="A804" i="3"/>
  <c r="B804" i="3"/>
  <c r="D804" i="3"/>
  <c r="A805" i="3"/>
  <c r="B805" i="3"/>
  <c r="D805" i="3"/>
  <c r="A806" i="3"/>
  <c r="B806" i="3"/>
  <c r="D806" i="3"/>
  <c r="A807" i="3"/>
  <c r="B807" i="3"/>
  <c r="D807" i="3"/>
  <c r="A808" i="3"/>
  <c r="B808" i="3"/>
  <c r="D808" i="3"/>
  <c r="A809" i="3"/>
  <c r="B809" i="3"/>
  <c r="D809" i="3"/>
  <c r="A810" i="3"/>
  <c r="B810" i="3"/>
  <c r="D810" i="3"/>
  <c r="A811" i="3"/>
  <c r="B811" i="3"/>
  <c r="D811" i="3"/>
  <c r="A812" i="3"/>
  <c r="B812" i="3"/>
  <c r="D812" i="3"/>
  <c r="A813" i="3"/>
  <c r="B813" i="3"/>
  <c r="D813" i="3"/>
  <c r="A814" i="3"/>
  <c r="B814" i="3"/>
  <c r="D814" i="3"/>
  <c r="A815" i="3"/>
  <c r="B815" i="3"/>
  <c r="D815" i="3"/>
  <c r="A816" i="3"/>
  <c r="B816" i="3"/>
  <c r="D816" i="3"/>
  <c r="A817" i="3"/>
  <c r="B817" i="3"/>
  <c r="D817" i="3"/>
  <c r="A818" i="3"/>
  <c r="B818" i="3"/>
  <c r="D818" i="3"/>
  <c r="A819" i="3"/>
  <c r="B819" i="3"/>
  <c r="D819" i="3"/>
  <c r="A820" i="3"/>
  <c r="B820" i="3"/>
  <c r="D820" i="3"/>
  <c r="A821" i="3"/>
  <c r="B821" i="3"/>
  <c r="D821" i="3"/>
  <c r="A822" i="3"/>
  <c r="B822" i="3"/>
  <c r="D822" i="3"/>
  <c r="A823" i="3"/>
  <c r="B823" i="3"/>
  <c r="D823" i="3"/>
  <c r="A824" i="3"/>
  <c r="B824" i="3"/>
  <c r="D824" i="3"/>
  <c r="A825" i="3"/>
  <c r="B825" i="3"/>
  <c r="D825" i="3"/>
  <c r="A826" i="3"/>
  <c r="B826" i="3"/>
  <c r="D826" i="3"/>
  <c r="A827" i="3"/>
  <c r="B827" i="3"/>
  <c r="D827" i="3"/>
  <c r="A828" i="3"/>
  <c r="B828" i="3"/>
  <c r="D828" i="3"/>
  <c r="A829" i="3"/>
  <c r="B829" i="3"/>
  <c r="D829" i="3"/>
  <c r="A830" i="3"/>
  <c r="B830" i="3"/>
  <c r="D830" i="3"/>
  <c r="A831" i="3"/>
  <c r="B831" i="3"/>
  <c r="D831" i="3"/>
  <c r="A832" i="3"/>
  <c r="B832" i="3"/>
  <c r="D832" i="3"/>
  <c r="A833" i="3"/>
  <c r="B833" i="3"/>
  <c r="D833" i="3"/>
  <c r="A834" i="3"/>
  <c r="B834" i="3"/>
  <c r="D834" i="3"/>
  <c r="A835" i="3"/>
  <c r="B835" i="3"/>
  <c r="D835" i="3"/>
  <c r="A836" i="3"/>
  <c r="B836" i="3"/>
  <c r="D836" i="3"/>
  <c r="A837" i="3"/>
  <c r="B837" i="3"/>
  <c r="D837" i="3"/>
  <c r="A838" i="3"/>
  <c r="B838" i="3"/>
  <c r="D838" i="3"/>
  <c r="A839" i="3"/>
  <c r="B839" i="3"/>
  <c r="D839" i="3"/>
  <c r="A840" i="3"/>
  <c r="B840" i="3"/>
  <c r="D840" i="3"/>
  <c r="A841" i="3"/>
  <c r="B841" i="3"/>
  <c r="D841" i="3"/>
  <c r="A842" i="3"/>
  <c r="B842" i="3"/>
  <c r="D842" i="3"/>
  <c r="A843" i="3"/>
  <c r="B843" i="3"/>
  <c r="D843" i="3"/>
  <c r="A844" i="3"/>
  <c r="B844" i="3"/>
  <c r="D844" i="3"/>
  <c r="A845" i="3"/>
  <c r="B845" i="3"/>
  <c r="D845" i="3"/>
  <c r="A846" i="3"/>
  <c r="B846" i="3"/>
  <c r="D846" i="3"/>
  <c r="A847" i="3"/>
  <c r="B847" i="3"/>
  <c r="D847" i="3"/>
  <c r="A848" i="3"/>
  <c r="B848" i="3"/>
  <c r="D848" i="3"/>
  <c r="A849" i="3"/>
  <c r="B849" i="3"/>
  <c r="D849" i="3"/>
  <c r="H45" i="3" l="1"/>
  <c r="H46" i="3" s="1"/>
  <c r="H47" i="3" s="1"/>
  <c r="H48" i="3" s="1"/>
  <c r="H49" i="3" s="1"/>
  <c r="H50" i="3" s="1"/>
  <c r="H51" i="3" s="1"/>
  <c r="H52" i="3" s="1"/>
  <c r="C877" i="3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851" i="3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I39" i="3"/>
  <c r="J39" i="3"/>
  <c r="I40" i="3"/>
  <c r="J40" i="3"/>
  <c r="I41" i="3"/>
  <c r="J41" i="3"/>
  <c r="I42" i="3"/>
  <c r="J42" i="3"/>
  <c r="A631" i="3"/>
  <c r="D631" i="3" s="1"/>
  <c r="B631" i="3"/>
  <c r="C631" i="3" s="1"/>
  <c r="A632" i="3"/>
  <c r="D632" i="3" s="1"/>
  <c r="B632" i="3"/>
  <c r="A633" i="3"/>
  <c r="D633" i="3" s="1"/>
  <c r="B633" i="3"/>
  <c r="A634" i="3"/>
  <c r="D634" i="3" s="1"/>
  <c r="B634" i="3"/>
  <c r="A635" i="3"/>
  <c r="D635" i="3" s="1"/>
  <c r="B635" i="3"/>
  <c r="A636" i="3"/>
  <c r="D636" i="3" s="1"/>
  <c r="B636" i="3"/>
  <c r="A637" i="3"/>
  <c r="D637" i="3" s="1"/>
  <c r="B637" i="3"/>
  <c r="A638" i="3"/>
  <c r="D638" i="3" s="1"/>
  <c r="B638" i="3"/>
  <c r="A639" i="3"/>
  <c r="D639" i="3" s="1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D654" i="3" s="1"/>
  <c r="B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D659" i="3" s="1"/>
  <c r="B659" i="3"/>
  <c r="A660" i="3"/>
  <c r="D660" i="3" s="1"/>
  <c r="B660" i="3"/>
  <c r="A574" i="3"/>
  <c r="D574" i="3" s="1"/>
  <c r="B574" i="3"/>
  <c r="A575" i="3"/>
  <c r="B575" i="3"/>
  <c r="D575" i="3"/>
  <c r="A576" i="3"/>
  <c r="B576" i="3"/>
  <c r="D576" i="3"/>
  <c r="A577" i="3"/>
  <c r="B577" i="3"/>
  <c r="D577" i="3"/>
  <c r="A578" i="3"/>
  <c r="D578" i="3" s="1"/>
  <c r="B578" i="3"/>
  <c r="A579" i="3"/>
  <c r="D579" i="3" s="1"/>
  <c r="B579" i="3"/>
  <c r="A580" i="3"/>
  <c r="B580" i="3"/>
  <c r="D580" i="3"/>
  <c r="A581" i="3"/>
  <c r="B581" i="3"/>
  <c r="D581" i="3"/>
  <c r="A582" i="3"/>
  <c r="D582" i="3" s="1"/>
  <c r="B582" i="3"/>
  <c r="A583" i="3"/>
  <c r="D583" i="3" s="1"/>
  <c r="B583" i="3"/>
  <c r="A584" i="3"/>
  <c r="B584" i="3"/>
  <c r="D584" i="3"/>
  <c r="A585" i="3"/>
  <c r="B585" i="3"/>
  <c r="D585" i="3"/>
  <c r="A586" i="3"/>
  <c r="D586" i="3" s="1"/>
  <c r="B586" i="3"/>
  <c r="A587" i="3"/>
  <c r="D587" i="3" s="1"/>
  <c r="B587" i="3"/>
  <c r="A588" i="3"/>
  <c r="B588" i="3"/>
  <c r="D588" i="3"/>
  <c r="A589" i="3"/>
  <c r="B589" i="3"/>
  <c r="D589" i="3"/>
  <c r="A590" i="3"/>
  <c r="D590" i="3" s="1"/>
  <c r="B590" i="3"/>
  <c r="A591" i="3"/>
  <c r="D591" i="3" s="1"/>
  <c r="B591" i="3"/>
  <c r="A592" i="3"/>
  <c r="B592" i="3"/>
  <c r="D592" i="3"/>
  <c r="A593" i="3"/>
  <c r="B593" i="3"/>
  <c r="D593" i="3"/>
  <c r="A594" i="3"/>
  <c r="D594" i="3" s="1"/>
  <c r="B594" i="3"/>
  <c r="A595" i="3"/>
  <c r="D595" i="3" s="1"/>
  <c r="B595" i="3"/>
  <c r="A596" i="3"/>
  <c r="B596" i="3"/>
  <c r="D596" i="3"/>
  <c r="A597" i="3"/>
  <c r="B597" i="3"/>
  <c r="D597" i="3"/>
  <c r="A598" i="3"/>
  <c r="D598" i="3" s="1"/>
  <c r="B598" i="3"/>
  <c r="A599" i="3"/>
  <c r="D599" i="3" s="1"/>
  <c r="B599" i="3"/>
  <c r="A600" i="3"/>
  <c r="B600" i="3"/>
  <c r="D600" i="3"/>
  <c r="A601" i="3"/>
  <c r="B601" i="3"/>
  <c r="D601" i="3"/>
  <c r="A602" i="3"/>
  <c r="D602" i="3" s="1"/>
  <c r="B602" i="3"/>
  <c r="A603" i="3"/>
  <c r="D603" i="3" s="1"/>
  <c r="B603" i="3"/>
  <c r="A604" i="3"/>
  <c r="B604" i="3"/>
  <c r="D604" i="3"/>
  <c r="A605" i="3"/>
  <c r="B605" i="3"/>
  <c r="D605" i="3"/>
  <c r="A606" i="3"/>
  <c r="D606" i="3" s="1"/>
  <c r="B606" i="3"/>
  <c r="A607" i="3"/>
  <c r="D607" i="3" s="1"/>
  <c r="B607" i="3"/>
  <c r="A608" i="3"/>
  <c r="B608" i="3"/>
  <c r="D608" i="3"/>
  <c r="A609" i="3"/>
  <c r="B609" i="3"/>
  <c r="D609" i="3"/>
  <c r="A610" i="3"/>
  <c r="D610" i="3" s="1"/>
  <c r="B610" i="3"/>
  <c r="A611" i="3"/>
  <c r="D611" i="3" s="1"/>
  <c r="B611" i="3"/>
  <c r="A612" i="3"/>
  <c r="B612" i="3"/>
  <c r="D612" i="3"/>
  <c r="A613" i="3"/>
  <c r="B613" i="3"/>
  <c r="D613" i="3"/>
  <c r="A614" i="3"/>
  <c r="D614" i="3" s="1"/>
  <c r="B614" i="3"/>
  <c r="A615" i="3"/>
  <c r="D615" i="3" s="1"/>
  <c r="B615" i="3"/>
  <c r="A616" i="3"/>
  <c r="B616" i="3"/>
  <c r="D616" i="3"/>
  <c r="A617" i="3"/>
  <c r="B617" i="3"/>
  <c r="D617" i="3"/>
  <c r="A618" i="3"/>
  <c r="D618" i="3" s="1"/>
  <c r="B618" i="3"/>
  <c r="A619" i="3"/>
  <c r="D619" i="3" s="1"/>
  <c r="B619" i="3"/>
  <c r="A620" i="3"/>
  <c r="B620" i="3"/>
  <c r="D620" i="3"/>
  <c r="A621" i="3"/>
  <c r="B621" i="3"/>
  <c r="D621" i="3"/>
  <c r="A622" i="3"/>
  <c r="D622" i="3" s="1"/>
  <c r="B622" i="3"/>
  <c r="A623" i="3"/>
  <c r="D623" i="3" s="1"/>
  <c r="B623" i="3"/>
  <c r="A624" i="3"/>
  <c r="B624" i="3"/>
  <c r="D624" i="3"/>
  <c r="A625" i="3"/>
  <c r="B625" i="3"/>
  <c r="D625" i="3"/>
  <c r="A626" i="3"/>
  <c r="D626" i="3" s="1"/>
  <c r="B626" i="3"/>
  <c r="A627" i="3"/>
  <c r="D627" i="3" s="1"/>
  <c r="B627" i="3"/>
  <c r="A628" i="3"/>
  <c r="B628" i="3"/>
  <c r="D628" i="3"/>
  <c r="A629" i="3"/>
  <c r="B629" i="3"/>
  <c r="D629" i="3"/>
  <c r="A630" i="3"/>
  <c r="D630" i="3" s="1"/>
  <c r="B630" i="3"/>
  <c r="A478" i="3"/>
  <c r="D478" i="3" s="1"/>
  <c r="B478" i="3"/>
  <c r="A479" i="3"/>
  <c r="B479" i="3"/>
  <c r="D479" i="3"/>
  <c r="A480" i="3"/>
  <c r="B480" i="3"/>
  <c r="D480" i="3"/>
  <c r="A481" i="3"/>
  <c r="D481" i="3" s="1"/>
  <c r="B481" i="3"/>
  <c r="A482" i="3"/>
  <c r="D482" i="3" s="1"/>
  <c r="B482" i="3"/>
  <c r="A483" i="3"/>
  <c r="D483" i="3" s="1"/>
  <c r="B483" i="3"/>
  <c r="A484" i="3"/>
  <c r="D484" i="3" s="1"/>
  <c r="B484" i="3"/>
  <c r="A485" i="3"/>
  <c r="D485" i="3" s="1"/>
  <c r="B485" i="3"/>
  <c r="A486" i="3"/>
  <c r="D486" i="3" s="1"/>
  <c r="B486" i="3"/>
  <c r="A487" i="3"/>
  <c r="B487" i="3"/>
  <c r="D487" i="3"/>
  <c r="A488" i="3"/>
  <c r="B488" i="3"/>
  <c r="D488" i="3"/>
  <c r="A489" i="3"/>
  <c r="D489" i="3" s="1"/>
  <c r="B489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B495" i="3"/>
  <c r="D495" i="3"/>
  <c r="A496" i="3"/>
  <c r="B496" i="3"/>
  <c r="D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D501" i="3" s="1"/>
  <c r="B501" i="3"/>
  <c r="A502" i="3"/>
  <c r="D502" i="3" s="1"/>
  <c r="B502" i="3"/>
  <c r="A503" i="3"/>
  <c r="B503" i="3"/>
  <c r="D503" i="3"/>
  <c r="A504" i="3"/>
  <c r="B504" i="3"/>
  <c r="D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B511" i="3"/>
  <c r="D511" i="3"/>
  <c r="A512" i="3"/>
  <c r="B512" i="3"/>
  <c r="D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D517" i="3" s="1"/>
  <c r="B517" i="3"/>
  <c r="A518" i="3"/>
  <c r="D518" i="3" s="1"/>
  <c r="B518" i="3"/>
  <c r="A519" i="3"/>
  <c r="B519" i="3"/>
  <c r="D519" i="3"/>
  <c r="A520" i="3"/>
  <c r="B520" i="3"/>
  <c r="D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526" i="3"/>
  <c r="D526" i="3" s="1"/>
  <c r="B526" i="3"/>
  <c r="A527" i="3"/>
  <c r="B527" i="3"/>
  <c r="D527" i="3"/>
  <c r="A528" i="3"/>
  <c r="B528" i="3"/>
  <c r="D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D534" i="3" s="1"/>
  <c r="B534" i="3"/>
  <c r="A535" i="3"/>
  <c r="B535" i="3"/>
  <c r="D535" i="3"/>
  <c r="A536" i="3"/>
  <c r="B536" i="3"/>
  <c r="D536" i="3"/>
  <c r="A537" i="3"/>
  <c r="D537" i="3" s="1"/>
  <c r="B537" i="3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B543" i="3"/>
  <c r="D543" i="3"/>
  <c r="A544" i="3"/>
  <c r="B544" i="3"/>
  <c r="D544" i="3"/>
  <c r="A545" i="3"/>
  <c r="D545" i="3" s="1"/>
  <c r="B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D550" i="3" s="1"/>
  <c r="B550" i="3"/>
  <c r="A551" i="3"/>
  <c r="B551" i="3"/>
  <c r="D551" i="3"/>
  <c r="A552" i="3"/>
  <c r="B552" i="3"/>
  <c r="D552" i="3"/>
  <c r="A553" i="3"/>
  <c r="D553" i="3" s="1"/>
  <c r="B553" i="3"/>
  <c r="A554" i="3"/>
  <c r="D554" i="3" s="1"/>
  <c r="B554" i="3"/>
  <c r="A555" i="3"/>
  <c r="D555" i="3" s="1"/>
  <c r="B555" i="3"/>
  <c r="A556" i="3"/>
  <c r="D556" i="3" s="1"/>
  <c r="B556" i="3"/>
  <c r="A557" i="3"/>
  <c r="D557" i="3" s="1"/>
  <c r="B557" i="3"/>
  <c r="A558" i="3"/>
  <c r="D558" i="3" s="1"/>
  <c r="B558" i="3"/>
  <c r="A559" i="3"/>
  <c r="B559" i="3"/>
  <c r="D559" i="3"/>
  <c r="A560" i="3"/>
  <c r="B560" i="3"/>
  <c r="D560" i="3"/>
  <c r="A561" i="3"/>
  <c r="D561" i="3" s="1"/>
  <c r="B561" i="3"/>
  <c r="A562" i="3"/>
  <c r="D562" i="3" s="1"/>
  <c r="B562" i="3"/>
  <c r="A563" i="3"/>
  <c r="D563" i="3" s="1"/>
  <c r="B563" i="3"/>
  <c r="A564" i="3"/>
  <c r="D564" i="3" s="1"/>
  <c r="B564" i="3"/>
  <c r="A565" i="3"/>
  <c r="D565" i="3" s="1"/>
  <c r="B565" i="3"/>
  <c r="A566" i="3"/>
  <c r="D566" i="3" s="1"/>
  <c r="B566" i="3"/>
  <c r="A567" i="3"/>
  <c r="D567" i="3" s="1"/>
  <c r="B567" i="3"/>
  <c r="A568" i="3"/>
  <c r="D568" i="3" s="1"/>
  <c r="B568" i="3"/>
  <c r="A569" i="3"/>
  <c r="D569" i="3" s="1"/>
  <c r="B569" i="3"/>
  <c r="A570" i="3"/>
  <c r="D570" i="3" s="1"/>
  <c r="B570" i="3"/>
  <c r="A571" i="3"/>
  <c r="D571" i="3" s="1"/>
  <c r="B571" i="3"/>
  <c r="A572" i="3"/>
  <c r="D572" i="3" s="1"/>
  <c r="B572" i="3"/>
  <c r="A573" i="3"/>
  <c r="D573" i="3" s="1"/>
  <c r="B573" i="3"/>
  <c r="C632" i="3" l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I38" i="3"/>
  <c r="J38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D457" i="3" s="1"/>
  <c r="B457" i="3"/>
  <c r="A458" i="3"/>
  <c r="D458" i="3" s="1"/>
  <c r="B458" i="3"/>
  <c r="A459" i="3"/>
  <c r="D459" i="3" s="1"/>
  <c r="B459" i="3"/>
  <c r="A460" i="3"/>
  <c r="D460" i="3" s="1"/>
  <c r="B460" i="3"/>
  <c r="A461" i="3"/>
  <c r="D461" i="3" s="1"/>
  <c r="B461" i="3"/>
  <c r="A462" i="3"/>
  <c r="D462" i="3" s="1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D467" i="3" s="1"/>
  <c r="B467" i="3"/>
  <c r="A468" i="3"/>
  <c r="D468" i="3" s="1"/>
  <c r="B468" i="3"/>
  <c r="A469" i="3"/>
  <c r="D469" i="3" s="1"/>
  <c r="B469" i="3"/>
  <c r="A470" i="3"/>
  <c r="D470" i="3" s="1"/>
  <c r="B470" i="3"/>
  <c r="A471" i="3"/>
  <c r="D471" i="3" s="1"/>
  <c r="B471" i="3"/>
  <c r="A472" i="3"/>
  <c r="D472" i="3" s="1"/>
  <c r="B472" i="3"/>
  <c r="A473" i="3"/>
  <c r="D473" i="3" s="1"/>
  <c r="B473" i="3"/>
  <c r="A474" i="3"/>
  <c r="D474" i="3" s="1"/>
  <c r="B474" i="3"/>
  <c r="A475" i="3"/>
  <c r="D475" i="3" s="1"/>
  <c r="B475" i="3"/>
  <c r="A476" i="3"/>
  <c r="D476" i="3" s="1"/>
  <c r="B476" i="3"/>
  <c r="A477" i="3"/>
  <c r="D477" i="3" s="1"/>
  <c r="B477" i="3"/>
  <c r="I35" i="3" l="1"/>
  <c r="J35" i="3"/>
  <c r="I36" i="3"/>
  <c r="J36" i="3"/>
  <c r="I37" i="3"/>
  <c r="J37" i="3"/>
  <c r="A445" i="3"/>
  <c r="D445" i="3" s="1"/>
  <c r="B445" i="3"/>
  <c r="A422" i="3"/>
  <c r="B422" i="3"/>
  <c r="D422" i="3"/>
  <c r="A423" i="3"/>
  <c r="B423" i="3"/>
  <c r="D423" i="3"/>
  <c r="A424" i="3"/>
  <c r="D424" i="3" s="1"/>
  <c r="B424" i="3"/>
  <c r="A425" i="3"/>
  <c r="D425" i="3" s="1"/>
  <c r="B425" i="3"/>
  <c r="A426" i="3"/>
  <c r="B426" i="3"/>
  <c r="D426" i="3"/>
  <c r="A427" i="3"/>
  <c r="B427" i="3"/>
  <c r="D427" i="3"/>
  <c r="A428" i="3"/>
  <c r="D428" i="3" s="1"/>
  <c r="B428" i="3"/>
  <c r="A429" i="3"/>
  <c r="D429" i="3" s="1"/>
  <c r="B429" i="3"/>
  <c r="A430" i="3"/>
  <c r="B430" i="3"/>
  <c r="D430" i="3"/>
  <c r="A431" i="3"/>
  <c r="B431" i="3"/>
  <c r="D431" i="3"/>
  <c r="A432" i="3"/>
  <c r="D432" i="3" s="1"/>
  <c r="B432" i="3"/>
  <c r="A433" i="3"/>
  <c r="D433" i="3" s="1"/>
  <c r="B433" i="3"/>
  <c r="A434" i="3"/>
  <c r="B434" i="3"/>
  <c r="D434" i="3"/>
  <c r="A435" i="3"/>
  <c r="B435" i="3"/>
  <c r="D435" i="3"/>
  <c r="A436" i="3"/>
  <c r="D436" i="3" s="1"/>
  <c r="B436" i="3"/>
  <c r="A437" i="3"/>
  <c r="D437" i="3" s="1"/>
  <c r="B437" i="3"/>
  <c r="A438" i="3"/>
  <c r="B438" i="3"/>
  <c r="D438" i="3"/>
  <c r="A439" i="3"/>
  <c r="B439" i="3"/>
  <c r="D439" i="3"/>
  <c r="A440" i="3"/>
  <c r="D440" i="3" s="1"/>
  <c r="B440" i="3"/>
  <c r="A441" i="3"/>
  <c r="D441" i="3" s="1"/>
  <c r="B441" i="3"/>
  <c r="A442" i="3"/>
  <c r="B442" i="3"/>
  <c r="D442" i="3"/>
  <c r="A443" i="3"/>
  <c r="B443" i="3"/>
  <c r="D443" i="3"/>
  <c r="A444" i="3"/>
  <c r="D444" i="3" s="1"/>
  <c r="B444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B377" i="3"/>
  <c r="D377" i="3"/>
  <c r="A378" i="3"/>
  <c r="D378" i="3" s="1"/>
  <c r="B378" i="3"/>
  <c r="A379" i="3"/>
  <c r="D379" i="3" s="1"/>
  <c r="B379" i="3"/>
  <c r="A380" i="3"/>
  <c r="B380" i="3"/>
  <c r="D380" i="3"/>
  <c r="A381" i="3"/>
  <c r="D381" i="3" s="1"/>
  <c r="B381" i="3"/>
  <c r="A382" i="3"/>
  <c r="D382" i="3" s="1"/>
  <c r="B382" i="3"/>
  <c r="A383" i="3"/>
  <c r="D383" i="3" s="1"/>
  <c r="B383" i="3"/>
  <c r="A384" i="3"/>
  <c r="D384" i="3" s="1"/>
  <c r="B384" i="3"/>
  <c r="A385" i="3"/>
  <c r="B385" i="3"/>
  <c r="D385" i="3"/>
  <c r="A386" i="3"/>
  <c r="D386" i="3" s="1"/>
  <c r="B386" i="3"/>
  <c r="A387" i="3"/>
  <c r="D387" i="3" s="1"/>
  <c r="B387" i="3"/>
  <c r="A388" i="3"/>
  <c r="B388" i="3"/>
  <c r="D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B393" i="3"/>
  <c r="D393" i="3"/>
  <c r="A394" i="3"/>
  <c r="D394" i="3" s="1"/>
  <c r="B394" i="3"/>
  <c r="A395" i="3"/>
  <c r="D395" i="3" s="1"/>
  <c r="B395" i="3"/>
  <c r="A396" i="3"/>
  <c r="B396" i="3"/>
  <c r="D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B401" i="3"/>
  <c r="D401" i="3"/>
  <c r="A402" i="3"/>
  <c r="D402" i="3" s="1"/>
  <c r="B402" i="3"/>
  <c r="A403" i="3"/>
  <c r="D403" i="3" s="1"/>
  <c r="B403" i="3"/>
  <c r="A404" i="3"/>
  <c r="B404" i="3"/>
  <c r="D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B409" i="3"/>
  <c r="D409" i="3"/>
  <c r="A410" i="3"/>
  <c r="D410" i="3" s="1"/>
  <c r="B410" i="3"/>
  <c r="A411" i="3"/>
  <c r="D411" i="3" s="1"/>
  <c r="B411" i="3"/>
  <c r="A412" i="3"/>
  <c r="B412" i="3"/>
  <c r="D412" i="3"/>
  <c r="A413" i="3"/>
  <c r="D413" i="3" s="1"/>
  <c r="B413" i="3"/>
  <c r="A414" i="3"/>
  <c r="D414" i="3" s="1"/>
  <c r="B414" i="3"/>
  <c r="A415" i="3"/>
  <c r="D415" i="3" s="1"/>
  <c r="B415" i="3"/>
  <c r="A416" i="3"/>
  <c r="D416" i="3" s="1"/>
  <c r="B416" i="3"/>
  <c r="A417" i="3"/>
  <c r="B417" i="3"/>
  <c r="D417" i="3"/>
  <c r="A418" i="3"/>
  <c r="D418" i="3" s="1"/>
  <c r="B418" i="3"/>
  <c r="A419" i="3"/>
  <c r="D419" i="3" s="1"/>
  <c r="B419" i="3"/>
  <c r="A420" i="3"/>
  <c r="B420" i="3"/>
  <c r="D420" i="3"/>
  <c r="A421" i="3"/>
  <c r="D421" i="3" s="1"/>
  <c r="B421" i="3"/>
  <c r="I31" i="3" l="1"/>
  <c r="J31" i="3"/>
  <c r="I32" i="3"/>
  <c r="J32" i="3"/>
  <c r="I33" i="3"/>
  <c r="J33" i="3"/>
  <c r="I34" i="3"/>
  <c r="J34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05" i="3"/>
  <c r="D305" i="3" s="1"/>
  <c r="B305" i="3"/>
  <c r="A306" i="3"/>
  <c r="B306" i="3"/>
  <c r="D306" i="3"/>
  <c r="A307" i="3"/>
  <c r="B307" i="3"/>
  <c r="D307" i="3"/>
  <c r="A308" i="3"/>
  <c r="D308" i="3" s="1"/>
  <c r="B308" i="3"/>
  <c r="A309" i="3"/>
  <c r="D309" i="3" s="1"/>
  <c r="B309" i="3"/>
  <c r="A310" i="3"/>
  <c r="B310" i="3"/>
  <c r="D310" i="3"/>
  <c r="A311" i="3"/>
  <c r="B311" i="3"/>
  <c r="D311" i="3"/>
  <c r="A312" i="3"/>
  <c r="D312" i="3" s="1"/>
  <c r="B312" i="3"/>
  <c r="A313" i="3"/>
  <c r="D313" i="3" s="1"/>
  <c r="B313" i="3"/>
  <c r="A314" i="3"/>
  <c r="B314" i="3"/>
  <c r="D314" i="3"/>
  <c r="A315" i="3"/>
  <c r="B315" i="3"/>
  <c r="D315" i="3"/>
  <c r="A316" i="3"/>
  <c r="D316" i="3" s="1"/>
  <c r="B316" i="3"/>
  <c r="A317" i="3"/>
  <c r="D317" i="3" s="1"/>
  <c r="B317" i="3"/>
  <c r="A318" i="3"/>
  <c r="B318" i="3"/>
  <c r="D318" i="3"/>
  <c r="A319" i="3"/>
  <c r="B319" i="3"/>
  <c r="D319" i="3"/>
  <c r="A320" i="3"/>
  <c r="D320" i="3" s="1"/>
  <c r="B320" i="3"/>
  <c r="A321" i="3"/>
  <c r="D321" i="3" s="1"/>
  <c r="B321" i="3"/>
  <c r="A322" i="3"/>
  <c r="B322" i="3"/>
  <c r="D322" i="3"/>
  <c r="A323" i="3"/>
  <c r="B323" i="3"/>
  <c r="D323" i="3"/>
  <c r="A324" i="3"/>
  <c r="D324" i="3" s="1"/>
  <c r="B324" i="3"/>
  <c r="A325" i="3"/>
  <c r="D325" i="3" s="1"/>
  <c r="B325" i="3"/>
  <c r="A326" i="3"/>
  <c r="B326" i="3"/>
  <c r="D326" i="3"/>
  <c r="A327" i="3"/>
  <c r="B327" i="3"/>
  <c r="D327" i="3"/>
  <c r="A328" i="3"/>
  <c r="D328" i="3" s="1"/>
  <c r="B328" i="3"/>
  <c r="A329" i="3"/>
  <c r="D329" i="3" s="1"/>
  <c r="B329" i="3"/>
  <c r="A330" i="3"/>
  <c r="B330" i="3"/>
  <c r="D330" i="3"/>
  <c r="A331" i="3"/>
  <c r="B331" i="3"/>
  <c r="D331" i="3"/>
  <c r="A332" i="3"/>
  <c r="D332" i="3" s="1"/>
  <c r="B332" i="3"/>
  <c r="A240" i="3"/>
  <c r="D240" i="3" s="1"/>
  <c r="B240" i="3"/>
  <c r="A241" i="3"/>
  <c r="B241" i="3"/>
  <c r="D241" i="3"/>
  <c r="A242" i="3"/>
  <c r="B242" i="3"/>
  <c r="D242" i="3"/>
  <c r="A243" i="3"/>
  <c r="D243" i="3" s="1"/>
  <c r="B243" i="3"/>
  <c r="A244" i="3"/>
  <c r="D244" i="3" s="1"/>
  <c r="B244" i="3"/>
  <c r="A245" i="3"/>
  <c r="B245" i="3"/>
  <c r="D245" i="3"/>
  <c r="A246" i="3"/>
  <c r="B246" i="3"/>
  <c r="D246" i="3"/>
  <c r="A247" i="3"/>
  <c r="D247" i="3" s="1"/>
  <c r="B247" i="3"/>
  <c r="A248" i="3"/>
  <c r="D248" i="3" s="1"/>
  <c r="B248" i="3"/>
  <c r="A249" i="3"/>
  <c r="B249" i="3"/>
  <c r="D249" i="3"/>
  <c r="A250" i="3"/>
  <c r="B250" i="3"/>
  <c r="D250" i="3"/>
  <c r="A251" i="3"/>
  <c r="D251" i="3" s="1"/>
  <c r="B251" i="3"/>
  <c r="A252" i="3"/>
  <c r="D252" i="3" s="1"/>
  <c r="B252" i="3"/>
  <c r="A253" i="3"/>
  <c r="B253" i="3"/>
  <c r="D253" i="3"/>
  <c r="A254" i="3"/>
  <c r="B254" i="3"/>
  <c r="D254" i="3"/>
  <c r="A255" i="3"/>
  <c r="D255" i="3" s="1"/>
  <c r="B255" i="3"/>
  <c r="A256" i="3"/>
  <c r="D256" i="3" s="1"/>
  <c r="B256" i="3"/>
  <c r="A257" i="3"/>
  <c r="B257" i="3"/>
  <c r="D257" i="3"/>
  <c r="A258" i="3"/>
  <c r="B258" i="3"/>
  <c r="D258" i="3"/>
  <c r="A259" i="3"/>
  <c r="D259" i="3" s="1"/>
  <c r="B259" i="3"/>
  <c r="A260" i="3"/>
  <c r="D260" i="3" s="1"/>
  <c r="B260" i="3"/>
  <c r="A261" i="3"/>
  <c r="B261" i="3"/>
  <c r="D261" i="3"/>
  <c r="A262" i="3"/>
  <c r="B262" i="3"/>
  <c r="D262" i="3"/>
  <c r="A263" i="3"/>
  <c r="D263" i="3" s="1"/>
  <c r="B263" i="3"/>
  <c r="A264" i="3"/>
  <c r="D264" i="3" s="1"/>
  <c r="B264" i="3"/>
  <c r="A265" i="3"/>
  <c r="B265" i="3"/>
  <c r="D265" i="3"/>
  <c r="A266" i="3"/>
  <c r="B266" i="3"/>
  <c r="C266" i="3" s="1"/>
  <c r="D266" i="3"/>
  <c r="A267" i="3"/>
  <c r="D267" i="3" s="1"/>
  <c r="B267" i="3"/>
  <c r="A268" i="3"/>
  <c r="D268" i="3" s="1"/>
  <c r="B268" i="3"/>
  <c r="A269" i="3"/>
  <c r="B269" i="3"/>
  <c r="D269" i="3"/>
  <c r="A270" i="3"/>
  <c r="B270" i="3"/>
  <c r="D270" i="3"/>
  <c r="A271" i="3"/>
  <c r="D271" i="3" s="1"/>
  <c r="B271" i="3"/>
  <c r="A272" i="3"/>
  <c r="D272" i="3" s="1"/>
  <c r="B272" i="3"/>
  <c r="A273" i="3"/>
  <c r="B273" i="3"/>
  <c r="D273" i="3"/>
  <c r="A274" i="3"/>
  <c r="B274" i="3"/>
  <c r="D274" i="3"/>
  <c r="A275" i="3"/>
  <c r="D275" i="3" s="1"/>
  <c r="B275" i="3"/>
  <c r="A276" i="3"/>
  <c r="D276" i="3" s="1"/>
  <c r="B276" i="3"/>
  <c r="A277" i="3"/>
  <c r="B277" i="3"/>
  <c r="D277" i="3"/>
  <c r="A278" i="3"/>
  <c r="B278" i="3"/>
  <c r="D278" i="3"/>
  <c r="A279" i="3"/>
  <c r="D279" i="3" s="1"/>
  <c r="B279" i="3"/>
  <c r="A280" i="3"/>
  <c r="D280" i="3" s="1"/>
  <c r="B280" i="3"/>
  <c r="A281" i="3"/>
  <c r="B281" i="3"/>
  <c r="D281" i="3"/>
  <c r="A282" i="3"/>
  <c r="B282" i="3"/>
  <c r="D282" i="3"/>
  <c r="A283" i="3"/>
  <c r="D283" i="3" s="1"/>
  <c r="B283" i="3"/>
  <c r="A284" i="3"/>
  <c r="D284" i="3" s="1"/>
  <c r="B284" i="3"/>
  <c r="A285" i="3"/>
  <c r="B285" i="3"/>
  <c r="D285" i="3"/>
  <c r="A286" i="3"/>
  <c r="B286" i="3"/>
  <c r="D286" i="3"/>
  <c r="A287" i="3"/>
  <c r="D287" i="3" s="1"/>
  <c r="B287" i="3"/>
  <c r="A288" i="3"/>
  <c r="D288" i="3" s="1"/>
  <c r="B288" i="3"/>
  <c r="A289" i="3"/>
  <c r="B289" i="3"/>
  <c r="D289" i="3"/>
  <c r="A290" i="3"/>
  <c r="B290" i="3"/>
  <c r="D290" i="3"/>
  <c r="A291" i="3"/>
  <c r="D291" i="3" s="1"/>
  <c r="B291" i="3"/>
  <c r="A292" i="3"/>
  <c r="D292" i="3" s="1"/>
  <c r="B292" i="3"/>
  <c r="A293" i="3"/>
  <c r="B293" i="3"/>
  <c r="D293" i="3"/>
  <c r="A294" i="3"/>
  <c r="B294" i="3"/>
  <c r="D294" i="3"/>
  <c r="A295" i="3"/>
  <c r="D295" i="3" s="1"/>
  <c r="B295" i="3"/>
  <c r="A296" i="3"/>
  <c r="D296" i="3" s="1"/>
  <c r="B296" i="3"/>
  <c r="A297" i="3"/>
  <c r="B297" i="3"/>
  <c r="D297" i="3"/>
  <c r="A298" i="3"/>
  <c r="B298" i="3"/>
  <c r="D298" i="3"/>
  <c r="A299" i="3"/>
  <c r="D299" i="3" s="1"/>
  <c r="B299" i="3"/>
  <c r="A300" i="3"/>
  <c r="D300" i="3" s="1"/>
  <c r="B300" i="3"/>
  <c r="A301" i="3"/>
  <c r="B301" i="3"/>
  <c r="D301" i="3"/>
  <c r="A302" i="3"/>
  <c r="B302" i="3"/>
  <c r="D302" i="3"/>
  <c r="A303" i="3"/>
  <c r="D303" i="3" s="1"/>
  <c r="B303" i="3"/>
  <c r="A304" i="3"/>
  <c r="D304" i="3" s="1"/>
  <c r="B304" i="3"/>
  <c r="A235" i="3"/>
  <c r="B235" i="3"/>
  <c r="D235" i="3"/>
  <c r="A236" i="3"/>
  <c r="B236" i="3"/>
  <c r="D236" i="3"/>
  <c r="A237" i="3"/>
  <c r="D237" i="3" s="1"/>
  <c r="B237" i="3"/>
  <c r="A238" i="3"/>
  <c r="D238" i="3" s="1"/>
  <c r="B238" i="3"/>
  <c r="A239" i="3"/>
  <c r="B239" i="3"/>
  <c r="D239" i="3"/>
  <c r="I30" i="3" l="1"/>
  <c r="J30" i="3"/>
  <c r="I26" i="3"/>
  <c r="J26" i="3"/>
  <c r="I27" i="3"/>
  <c r="J27" i="3"/>
  <c r="I28" i="3"/>
  <c r="J28" i="3"/>
  <c r="I29" i="3"/>
  <c r="J29" i="3"/>
  <c r="A220" i="3"/>
  <c r="D220" i="3" s="1"/>
  <c r="B220" i="3"/>
  <c r="A221" i="3"/>
  <c r="B221" i="3"/>
  <c r="D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B226" i="3"/>
  <c r="D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B233" i="3"/>
  <c r="D233" i="3"/>
  <c r="A234" i="3"/>
  <c r="D234" i="3" s="1"/>
  <c r="B234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B181" i="3"/>
  <c r="D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B188" i="3"/>
  <c r="D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B197" i="3"/>
  <c r="D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B204" i="3"/>
  <c r="D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B213" i="3"/>
  <c r="D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97" i="3"/>
  <c r="B97" i="3"/>
  <c r="D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B106" i="3"/>
  <c r="D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B113" i="3"/>
  <c r="D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B121" i="3"/>
  <c r="D121" i="3"/>
  <c r="A122" i="3"/>
  <c r="B122" i="3"/>
  <c r="D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B137" i="3"/>
  <c r="D137" i="3"/>
  <c r="A138" i="3"/>
  <c r="B138" i="3"/>
  <c r="D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B153" i="3"/>
  <c r="D153" i="3"/>
  <c r="A154" i="3"/>
  <c r="B154" i="3"/>
  <c r="D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B169" i="3"/>
  <c r="D169" i="3"/>
  <c r="A170" i="3"/>
  <c r="B170" i="3"/>
  <c r="D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82" i="3"/>
  <c r="D82" i="3" s="1"/>
  <c r="B82" i="3"/>
  <c r="A83" i="3"/>
  <c r="D83" i="3" s="1"/>
  <c r="B83" i="3"/>
  <c r="A84" i="3"/>
  <c r="D84" i="3" s="1"/>
  <c r="B84" i="3"/>
  <c r="A85" i="3"/>
  <c r="D85" i="3" s="1"/>
  <c r="B85" i="3"/>
  <c r="A86" i="3"/>
  <c r="D86" i="3" s="1"/>
  <c r="B86" i="3"/>
  <c r="A87" i="3"/>
  <c r="D87" i="3" s="1"/>
  <c r="B87" i="3"/>
  <c r="A88" i="3"/>
  <c r="B88" i="3"/>
  <c r="D88" i="3"/>
  <c r="A89" i="3"/>
  <c r="B89" i="3"/>
  <c r="D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B7" i="3" l="1"/>
  <c r="C5" i="3" l="1"/>
  <c r="B5" i="3"/>
  <c r="B4" i="3"/>
  <c r="B3" i="3"/>
  <c r="B15" i="3" l="1"/>
  <c r="B6" i="3"/>
  <c r="B8" i="3"/>
  <c r="B9" i="3"/>
  <c r="B10" i="3"/>
  <c r="B11" i="3"/>
  <c r="B13" i="7"/>
  <c r="B12" i="7"/>
  <c r="B14" i="7"/>
  <c r="A78" i="3" l="1"/>
  <c r="D78" i="3" s="1"/>
  <c r="B78" i="3"/>
  <c r="A79" i="3"/>
  <c r="D79" i="3" s="1"/>
  <c r="B79" i="3"/>
  <c r="A80" i="3"/>
  <c r="D80" i="3" s="1"/>
  <c r="B80" i="3"/>
  <c r="A81" i="3"/>
  <c r="D81" i="3" s="1"/>
  <c r="B81" i="3"/>
  <c r="I21" i="3" l="1"/>
  <c r="J21" i="3"/>
  <c r="I22" i="3"/>
  <c r="J22" i="3"/>
  <c r="I23" i="3"/>
  <c r="J23" i="3"/>
  <c r="I24" i="3"/>
  <c r="J24" i="3"/>
  <c r="I25" i="3"/>
  <c r="J25" i="3"/>
  <c r="J20" i="3"/>
  <c r="I20" i="3"/>
  <c r="A74" i="3" l="1"/>
  <c r="D74" i="3" s="1"/>
  <c r="B74" i="3"/>
  <c r="A75" i="3"/>
  <c r="D75" i="3" s="1"/>
  <c r="B75" i="3"/>
  <c r="A76" i="3"/>
  <c r="D76" i="3" s="1"/>
  <c r="B76" i="3"/>
  <c r="A77" i="3"/>
  <c r="D77" i="3" s="1"/>
  <c r="B77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39" i="3" l="1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B2" i="3" l="1"/>
  <c r="B1" i="3"/>
  <c r="A21" i="3"/>
  <c r="D21" i="3" s="1"/>
  <c r="B21" i="3"/>
  <c r="A22" i="3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B39" i="3"/>
  <c r="B40" i="3"/>
  <c r="B41" i="3"/>
  <c r="B42" i="3"/>
  <c r="B43" i="3"/>
  <c r="B44" i="3"/>
  <c r="B45" i="3"/>
  <c r="B46" i="3"/>
  <c r="B20" i="3"/>
  <c r="A20" i="3"/>
  <c r="D20" i="3" s="1"/>
  <c r="G41" i="3" l="1"/>
  <c r="N22" i="3"/>
  <c r="G39" i="3"/>
  <c r="G40" i="3"/>
  <c r="G42" i="3"/>
  <c r="G38" i="3"/>
  <c r="G37" i="3"/>
  <c r="G36" i="3"/>
  <c r="G35" i="3"/>
  <c r="G32" i="3"/>
  <c r="G33" i="3"/>
  <c r="G31" i="3"/>
  <c r="G34" i="3"/>
  <c r="G26" i="3"/>
  <c r="G28" i="3"/>
  <c r="G29" i="3"/>
  <c r="G27" i="3"/>
  <c r="G30" i="3"/>
  <c r="A1" i="2"/>
  <c r="B13" i="3"/>
  <c r="B12" i="3"/>
  <c r="B14" i="3"/>
  <c r="G25" i="3"/>
  <c r="G24" i="3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H32" i="3" l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N21" i="3"/>
  <c r="N20" i="3"/>
  <c r="H24" i="3"/>
  <c r="H25" i="3" s="1"/>
  <c r="H26" i="3" s="1"/>
  <c r="H27" i="3" s="1"/>
  <c r="H28" i="3" s="1"/>
  <c r="H29" i="3" s="1"/>
  <c r="H30" i="3" s="1"/>
  <c r="H31" i="3" s="1"/>
</calcChain>
</file>

<file path=xl/sharedStrings.xml><?xml version="1.0" encoding="utf-8"?>
<sst xmlns="http://schemas.openxmlformats.org/spreadsheetml/2006/main" count="344" uniqueCount="47">
  <si>
    <t>Month</t>
  </si>
  <si>
    <t>Year</t>
  </si>
  <si>
    <t>Date of Measurement (at 9am)</t>
  </si>
  <si>
    <t>Official Record Date (Preceding Day)</t>
  </si>
  <si>
    <t>mm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</si>
  <si>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</si>
  <si>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</si>
  <si>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</si>
  <si>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</si>
  <si>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</si>
  <si>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</si>
  <si>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nd = no data; T = Trace (&lt;0.5mm)</t>
  </si>
  <si>
    <t>Daily Rainfall</t>
  </si>
  <si>
    <t>Monthly Rainfall</t>
  </si>
  <si>
    <t>Annual Rainfall</t>
  </si>
  <si>
    <t>T</t>
  </si>
  <si>
    <t>Year/Month</t>
  </si>
  <si>
    <t>May onwards</t>
  </si>
  <si>
    <t>SN25</t>
  </si>
  <si>
    <t>Fadugu Agricultural College</t>
  </si>
  <si>
    <t>Site Reference Number</t>
  </si>
  <si>
    <t>Site Name</t>
  </si>
  <si>
    <t>Type of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</si>
  <si>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</si>
  <si>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</si>
  <si>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</si>
  <si>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</si>
  <si>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</si>
  <si>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</si>
  <si>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</si>
  <si>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</si>
  <si>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</si>
  <si>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</si>
  <si>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</si>
  <si>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</si>
  <si>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Rainfall Data</t>
  </si>
  <si>
    <t>Latitude</t>
  </si>
  <si>
    <t>Longitude</t>
  </si>
  <si>
    <t>Elevation (mASL)</t>
  </si>
  <si>
    <t>m above sea level</t>
  </si>
  <si>
    <t>Data Collection</t>
  </si>
  <si>
    <t>Community (School)</t>
  </si>
  <si>
    <t>Incomplete Data</t>
  </si>
  <si>
    <t>*</t>
  </si>
  <si>
    <t>nd</t>
  </si>
  <si>
    <t>nd:  Jul, Dec</t>
  </si>
  <si>
    <t>nd: Feb, Mar,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</si>
</sst>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"/>
  </numFmts>
  <fonts count="4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33" borderId="0" applyNumberFormat="0" applyBorder="0" applyAlignment="0" applyProtection="0"/>
    <xf numFmtId="0" fontId="25" fillId="15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10" applyNumberFormat="0" applyAlignment="0" applyProtection="0"/>
    <xf numFmtId="0" fontId="28" fillId="42" borderId="11" applyNumberFormat="0" applyAlignment="0" applyProtection="0"/>
    <xf numFmtId="0" fontId="29" fillId="0" borderId="0" applyNumberFormat="0" applyFill="0" applyBorder="0" applyAlignment="0" applyProtection="0"/>
    <xf numFmtId="0" fontId="30" fillId="43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44" borderId="10" applyNumberFormat="0" applyAlignment="0" applyProtection="0"/>
    <xf numFmtId="0" fontId="35" fillId="0" borderId="15" applyNumberFormat="0" applyFill="0" applyAlignment="0" applyProtection="0"/>
    <xf numFmtId="0" fontId="36" fillId="45" borderId="0" applyNumberFormat="0" applyBorder="0" applyAlignment="0" applyProtection="0"/>
    <xf numFmtId="0" fontId="6" fillId="46" borderId="16" applyNumberFormat="0" applyFont="0" applyAlignment="0" applyProtection="0"/>
    <xf numFmtId="0" fontId="37" fillId="41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25" fillId="51" borderId="0" applyNumberFormat="0" applyBorder="0" applyAlignment="0" applyProtection="0"/>
    <xf numFmtId="0" fontId="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1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44" fillId="0" borderId="0" applyNumberFormat="0" applyFill="0" applyBorder="0" applyAlignment="0" applyProtection="0"/>
    <xf numFmtId="0" fontId="2" fillId="0" borderId="0"/>
    <xf numFmtId="0" fontId="46" fillId="0" borderId="0"/>
    <xf numFmtId="0" fontId="47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48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6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" fillId="0" borderId="0"/>
  </cellStyleXfs>
  <cellXfs count="41">
    <xf numFmtId="0" fontId="0" fillId="0" borderId="0" xfId="0"/>
    <xf numFmtId="2" fontId="0" fillId="0" borderId="0" xfId="0" applyNumberFormat="1"/>
    <xf numFmtId="0" fontId="43" fillId="0" borderId="0" xfId="0" applyFont="1"/>
    <xf numFmtId="0" fontId="43" fillId="0" borderId="0" xfId="0" applyFont="1" applyAlignment="1">
      <alignment horizontal="center"/>
    </xf>
    <xf numFmtId="164" fontId="43" fillId="0" borderId="0" xfId="0" applyNumberFormat="1" applyFont="1" applyAlignment="1">
      <alignment horizontal="center"/>
    </xf>
    <xf numFmtId="0" fontId="43" fillId="0" borderId="0" xfId="0" applyFont="1" applyBorder="1"/>
    <xf numFmtId="0" fontId="43" fillId="0" borderId="0" xfId="0" applyFont="1" applyBorder="1" applyAlignment="1">
      <alignment horizontal="center" vertical="top" wrapText="1"/>
    </xf>
    <xf numFmtId="22" fontId="43" fillId="0" borderId="0" xfId="0" applyNumberFormat="1" applyFont="1" applyAlignment="1">
      <alignment vertical="top"/>
    </xf>
    <xf numFmtId="14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17" fontId="43" fillId="0" borderId="0" xfId="0" applyNumberFormat="1" applyFont="1" applyBorder="1" applyAlignment="1">
      <alignment horizontal="center"/>
    </xf>
    <xf numFmtId="164" fontId="43" fillId="0" borderId="0" xfId="0" applyNumberFormat="1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0" fillId="0" borderId="0" xfId="0"/>
    <xf numFmtId="0" fontId="42" fillId="0" borderId="0" xfId="0" applyFont="1" applyAlignment="1"/>
    <xf numFmtId="0" fontId="43" fillId="0" borderId="0" xfId="0" applyFont="1" applyAlignment="1">
      <alignment horizontal="center" vertical="top" textRotation="90"/>
    </xf>
    <xf numFmtId="0" fontId="43" fillId="0" borderId="0" xfId="0" applyFont="1" applyAlignment="1">
      <alignment vertical="top"/>
    </xf>
    <xf numFmtId="0" fontId="42" fillId="0" borderId="0" xfId="0" applyFont="1"/>
    <xf numFmtId="0" fontId="43" fillId="0" borderId="0" xfId="0" applyFont="1" applyAlignment="1">
      <alignment horizontal="center" vertical="top"/>
    </xf>
    <xf numFmtId="164" fontId="43" fillId="0" borderId="0" xfId="0" applyNumberFormat="1" applyFont="1" applyBorder="1" applyAlignment="1">
      <alignment horizontal="center" vertical="top" wrapText="1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Border="1" applyAlignment="1">
      <alignment horizontal="center" vertical="top" wrapText="1"/>
    </xf>
    <xf numFmtId="22" fontId="43" fillId="0" borderId="0" xfId="0" applyNumberFormat="1" applyFont="1" applyAlignment="1">
      <alignment vertical="top" wrapText="1"/>
    </xf>
    <xf numFmtId="0" fontId="43" fillId="0" borderId="0" xfId="0" applyFont="1" applyAlignment="1">
      <alignment vertical="top"/>
    </xf>
    <xf numFmtId="1" fontId="43" fillId="0" borderId="0" xfId="0" applyNumberFormat="1" applyFont="1" applyAlignment="1">
      <alignment horizontal="center"/>
    </xf>
    <xf numFmtId="164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left" vertical="top"/>
    </xf>
    <xf numFmtId="0" fontId="42" fillId="0" borderId="0" xfId="0" applyFont="1" applyAlignment="1">
      <alignment horizontal="left" vertical="top"/>
    </xf>
    <xf numFmtId="0" fontId="45" fillId="0" borderId="0" xfId="176" applyFont="1" applyAlignment="1">
      <alignment horizontal="left" vertical="top"/>
    </xf>
    <xf numFmtId="14" fontId="43" fillId="0" borderId="0" xfId="0" applyNumberFormat="1" applyFont="1" applyAlignment="1">
      <alignment horizontal="left" vertical="top"/>
    </xf>
    <xf numFmtId="0" fontId="42" fillId="0" borderId="0" xfId="0" applyFont="1" applyAlignment="1">
      <alignment vertical="top"/>
    </xf>
    <xf numFmtId="0" fontId="43" fillId="0" borderId="0" xfId="0" applyFont="1" applyBorder="1" applyAlignment="1">
      <alignment horizontal="left" vertical="top" wrapText="1"/>
    </xf>
    <xf numFmtId="0" fontId="43" fillId="0" borderId="0" xfId="0" applyFont="1" applyBorder="1" applyAlignment="1">
      <alignment horizontal="left" vertical="top"/>
    </xf>
    <xf numFmtId="22" fontId="43" fillId="0" borderId="0" xfId="0" applyNumberFormat="1" applyFont="1" applyBorder="1" applyAlignment="1">
      <alignment horizontal="left" vertical="top"/>
    </xf>
    <xf numFmtId="14" fontId="43" fillId="0" borderId="0" xfId="0" applyNumberFormat="1" applyFont="1" applyBorder="1" applyAlignment="1">
      <alignment horizontal="left" vertical="top"/>
    </xf>
    <xf numFmtId="164" fontId="43" fillId="0" borderId="0" xfId="0" applyNumberFormat="1" applyFont="1" applyBorder="1" applyAlignment="1">
      <alignment horizontal="left" vertical="top"/>
    </xf>
    <xf numFmtId="165" fontId="43" fillId="0" borderId="7" xfId="178" applyNumberFormat="1" applyFont="1" applyFill="1" applyBorder="1" applyAlignment="1">
      <alignment horizontal="left" vertical="center"/>
    </xf>
    <xf numFmtId="1" fontId="43" fillId="0" borderId="7" xfId="178" applyNumberFormat="1" applyFont="1" applyFill="1" applyBorder="1" applyAlignment="1">
      <alignment horizontal="left" vertical="center"/>
    </xf>
    <xf numFmtId="165" fontId="43" fillId="0" borderId="0" xfId="0" applyNumberFormat="1" applyFont="1" applyAlignment="1">
      <alignment horizontal="left" vertical="top"/>
    </xf>
    <xf numFmtId="0" fontId="24" fillId="0" borderId="0" xfId="0" applyFont="1" applyAlignment="1">
      <alignment horizontal="center"/>
    </xf>
  </cellXfs>
  <cellStyles count="480">
    <cellStyle name="20% - Accent1" xfId="1" builtinId="30" customBuiltin="1"/>
    <cellStyle name="20% - Accent1 2" xfId="85"/>
    <cellStyle name="20% - Accent1 2 2" xfId="141"/>
    <cellStyle name="20% - Accent1 2 2 2" xfId="415"/>
    <cellStyle name="20% - Accent1 2 2 3" xfId="270"/>
    <cellStyle name="20% - Accent1 2 3" xfId="122"/>
    <cellStyle name="20% - Accent1 2 3 2" xfId="448"/>
    <cellStyle name="20% - Accent1 2 4" xfId="367"/>
    <cellStyle name="20% - Accent1 2 5" xfId="196"/>
    <cellStyle name="20% - Accent1 2_Rainfall Data 2013" xfId="225"/>
    <cellStyle name="20% - Accent1 3" xfId="43"/>
    <cellStyle name="20% - Accent1 3 2" xfId="142"/>
    <cellStyle name="20% - Accent1 3 2 2" xfId="402"/>
    <cellStyle name="20% - Accent1 3 2 3" xfId="284"/>
    <cellStyle name="20% - Accent1 3 3" xfId="109"/>
    <cellStyle name="20% - Accent1 3 3 2" xfId="435"/>
    <cellStyle name="20% - Accent1 3 4" xfId="368"/>
    <cellStyle name="20% - Accent1 3 5" xfId="211"/>
    <cellStyle name="20% - Accent1 3_Rainfall Data 2013" xfId="226"/>
    <cellStyle name="20% - Accent1 4" xfId="93"/>
    <cellStyle name="20% - Accent1 4 2" xfId="162"/>
    <cellStyle name="20% - Accent1 4 2 2" xfId="420"/>
    <cellStyle name="20% - Accent1 4 3" xfId="127"/>
    <cellStyle name="20% - Accent1 4 3 2" xfId="453"/>
    <cellStyle name="20% - Accent1 4 4" xfId="387"/>
    <cellStyle name="20% - Accent1 4 5" xfId="254"/>
    <cellStyle name="20% - Accent1 5" xfId="301"/>
    <cellStyle name="20% - Accent1 6" xfId="307"/>
    <cellStyle name="20% - Accent1 7" xfId="326"/>
    <cellStyle name="20% - Accent1 8" xfId="467"/>
    <cellStyle name="20% - Accent1 9" xfId="180"/>
    <cellStyle name="20% - Accent2" xfId="2" builtinId="34" customBuiltin="1"/>
    <cellStyle name="20% - Accent2 2" xfId="86"/>
    <cellStyle name="20% - Accent2 2 2" xfId="143"/>
    <cellStyle name="20% - Accent2 2 2 2" xfId="416"/>
    <cellStyle name="20% - Accent2 2 2 3" xfId="272"/>
    <cellStyle name="20% - Accent2 2 3" xfId="123"/>
    <cellStyle name="20% - Accent2 2 3 2" xfId="449"/>
    <cellStyle name="20% - Accent2 2 4" xfId="369"/>
    <cellStyle name="20% - Accent2 2 5" xfId="198"/>
    <cellStyle name="20% - Accent2 2_Rainfall Data 2013" xfId="227"/>
    <cellStyle name="20% - Accent2 3" xfId="44"/>
    <cellStyle name="20% - Accent2 3 2" xfId="144"/>
    <cellStyle name="20% - Accent2 3 2 2" xfId="403"/>
    <cellStyle name="20% - Accent2 3 2 3" xfId="286"/>
    <cellStyle name="20% - Accent2 3 3" xfId="110"/>
    <cellStyle name="20% - Accent2 3 3 2" xfId="436"/>
    <cellStyle name="20% - Accent2 3 4" xfId="370"/>
    <cellStyle name="20% - Accent2 3 5" xfId="213"/>
    <cellStyle name="20% - Accent2 3_Rainfall Data 2013" xfId="228"/>
    <cellStyle name="20% - Accent2 4" xfId="94"/>
    <cellStyle name="20% - Accent2 4 2" xfId="164"/>
    <cellStyle name="20% - Accent2 4 2 2" xfId="421"/>
    <cellStyle name="20% - Accent2 4 3" xfId="128"/>
    <cellStyle name="20% - Accent2 4 3 2" xfId="454"/>
    <cellStyle name="20% - Accent2 4 4" xfId="388"/>
    <cellStyle name="20% - Accent2 4 5" xfId="256"/>
    <cellStyle name="20% - Accent2 5" xfId="305"/>
    <cellStyle name="20% - Accent2 6" xfId="315"/>
    <cellStyle name="20% - Accent2 7" xfId="327"/>
    <cellStyle name="20% - Accent2 8" xfId="468"/>
    <cellStyle name="20% - Accent2 9" xfId="182"/>
    <cellStyle name="20% - Accent3" xfId="3" builtinId="38" customBuiltin="1"/>
    <cellStyle name="20% - Accent3 2" xfId="87"/>
    <cellStyle name="20% - Accent3 2 2" xfId="145"/>
    <cellStyle name="20% - Accent3 2 2 2" xfId="417"/>
    <cellStyle name="20% - Accent3 2 2 3" xfId="274"/>
    <cellStyle name="20% - Accent3 2 3" xfId="124"/>
    <cellStyle name="20% - Accent3 2 3 2" xfId="450"/>
    <cellStyle name="20% - Accent3 2 4" xfId="371"/>
    <cellStyle name="20% - Accent3 2 5" xfId="200"/>
    <cellStyle name="20% - Accent3 2_Rainfall Data 2013" xfId="229"/>
    <cellStyle name="20% - Accent3 3" xfId="45"/>
    <cellStyle name="20% - Accent3 3 2" xfId="146"/>
    <cellStyle name="20% - Accent3 3 2 2" xfId="404"/>
    <cellStyle name="20% - Accent3 3 2 3" xfId="288"/>
    <cellStyle name="20% - Accent3 3 3" xfId="111"/>
    <cellStyle name="20% - Accent3 3 3 2" xfId="437"/>
    <cellStyle name="20% - Accent3 3 4" xfId="372"/>
    <cellStyle name="20% - Accent3 3 5" xfId="215"/>
    <cellStyle name="20% - Accent3 3_Rainfall Data 2013" xfId="230"/>
    <cellStyle name="20% - Accent3 4" xfId="95"/>
    <cellStyle name="20% - Accent3 4 2" xfId="166"/>
    <cellStyle name="20% - Accent3 4 2 2" xfId="422"/>
    <cellStyle name="20% - Accent3 4 3" xfId="129"/>
    <cellStyle name="20% - Accent3 4 3 2" xfId="455"/>
    <cellStyle name="20% - Accent3 4 4" xfId="389"/>
    <cellStyle name="20% - Accent3 4 5" xfId="258"/>
    <cellStyle name="20% - Accent3 5" xfId="308"/>
    <cellStyle name="20% - Accent3 6" xfId="303"/>
    <cellStyle name="20% - Accent3 7" xfId="328"/>
    <cellStyle name="20% - Accent3 8" xfId="469"/>
    <cellStyle name="20% - Accent3 9" xfId="184"/>
    <cellStyle name="20% - Accent4" xfId="4" builtinId="42" customBuiltin="1"/>
    <cellStyle name="20% - Accent4 2" xfId="90"/>
    <cellStyle name="20% - Accent4 2 2" xfId="147"/>
    <cellStyle name="20% - Accent4 2 2 2" xfId="419"/>
    <cellStyle name="20% - Accent4 2 2 3" xfId="276"/>
    <cellStyle name="20% - Accent4 2 3" xfId="126"/>
    <cellStyle name="20% - Accent4 2 3 2" xfId="452"/>
    <cellStyle name="20% - Accent4 2 4" xfId="373"/>
    <cellStyle name="20% - Accent4 2 5" xfId="202"/>
    <cellStyle name="20% - Accent4 2_Rainfall Data 2013" xfId="231"/>
    <cellStyle name="20% - Accent4 3" xfId="46"/>
    <cellStyle name="20% - Accent4 3 2" xfId="148"/>
    <cellStyle name="20% - Accent4 3 2 2" xfId="405"/>
    <cellStyle name="20% - Accent4 3 2 3" xfId="290"/>
    <cellStyle name="20% - Accent4 3 3" xfId="112"/>
    <cellStyle name="20% - Accent4 3 3 2" xfId="438"/>
    <cellStyle name="20% - Accent4 3 4" xfId="374"/>
    <cellStyle name="20% - Accent4 3 5" xfId="217"/>
    <cellStyle name="20% - Accent4 3_Rainfall Data 2013" xfId="232"/>
    <cellStyle name="20% - Accent4 4" xfId="96"/>
    <cellStyle name="20% - Accent4 4 2" xfId="168"/>
    <cellStyle name="20% - Accent4 4 2 2" xfId="423"/>
    <cellStyle name="20% - Accent4 4 3" xfId="130"/>
    <cellStyle name="20% - Accent4 4 3 2" xfId="456"/>
    <cellStyle name="20% - Accent4 4 4" xfId="390"/>
    <cellStyle name="20% - Accent4 4 5" xfId="260"/>
    <cellStyle name="20% - Accent4 5" xfId="310"/>
    <cellStyle name="20% - Accent4 6" xfId="319"/>
    <cellStyle name="20% - Accent4 7" xfId="329"/>
    <cellStyle name="20% - Accent4 8" xfId="470"/>
    <cellStyle name="20% - Accent4 9" xfId="186"/>
    <cellStyle name="20% - Accent5" xfId="5" builtinId="46" customBuiltin="1"/>
    <cellStyle name="20% - Accent5 2" xfId="47"/>
    <cellStyle name="20% - Accent5 2 2" xfId="149"/>
    <cellStyle name="20% - Accent5 2 2 2" xfId="406"/>
    <cellStyle name="20% - Accent5 2 2 3" xfId="278"/>
    <cellStyle name="20% - Accent5 2 3" xfId="113"/>
    <cellStyle name="20% - Accent5 2 3 2" xfId="439"/>
    <cellStyle name="20% - Accent5 2 4" xfId="375"/>
    <cellStyle name="20% - Accent5 2 5" xfId="204"/>
    <cellStyle name="20% - Accent5 2_Rainfall Data 2013" xfId="233"/>
    <cellStyle name="20% - Accent5 3" xfId="97"/>
    <cellStyle name="20% - Accent5 3 2" xfId="170"/>
    <cellStyle name="20% - Accent5 3 2 2" xfId="424"/>
    <cellStyle name="20% - Accent5 3 2 3" xfId="292"/>
    <cellStyle name="20% - Accent5 3 3" xfId="131"/>
    <cellStyle name="20% - Accent5 3 3 2" xfId="457"/>
    <cellStyle name="20% - Accent5 3 4" xfId="391"/>
    <cellStyle name="20% - Accent5 3 5" xfId="219"/>
    <cellStyle name="20% - Accent5 3_Rainfall Data 2013" xfId="234"/>
    <cellStyle name="20% - Accent5 4" xfId="262"/>
    <cellStyle name="20% - Accent5 5" xfId="313"/>
    <cellStyle name="20% - Accent5 6" xfId="321"/>
    <cellStyle name="20% - Accent5 7" xfId="330"/>
    <cellStyle name="20% - Accent5 8" xfId="471"/>
    <cellStyle name="20% - Accent5 9" xfId="188"/>
    <cellStyle name="20% - Accent6" xfId="6" builtinId="50" customBuiltin="1"/>
    <cellStyle name="20% - Accent6 2" xfId="48"/>
    <cellStyle name="20% - Accent6 2 2" xfId="150"/>
    <cellStyle name="20% - Accent6 2 2 2" xfId="407"/>
    <cellStyle name="20% - Accent6 2 2 3" xfId="280"/>
    <cellStyle name="20% - Accent6 2 3" xfId="114"/>
    <cellStyle name="20% - Accent6 2 3 2" xfId="440"/>
    <cellStyle name="20% - Accent6 2 4" xfId="376"/>
    <cellStyle name="20% - Accent6 2 5" xfId="206"/>
    <cellStyle name="20% - Accent6 2_Rainfall Data 2013" xfId="235"/>
    <cellStyle name="20% - Accent6 3" xfId="98"/>
    <cellStyle name="20% - Accent6 3 2" xfId="172"/>
    <cellStyle name="20% - Accent6 3 2 2" xfId="425"/>
    <cellStyle name="20% - Accent6 3 2 3" xfId="294"/>
    <cellStyle name="20% - Accent6 3 3" xfId="132"/>
    <cellStyle name="20% - Accent6 3 3 2" xfId="458"/>
    <cellStyle name="20% - Accent6 3 4" xfId="392"/>
    <cellStyle name="20% - Accent6 3 5" xfId="221"/>
    <cellStyle name="20% - Accent6 3_Rainfall Data 2013" xfId="236"/>
    <cellStyle name="20% - Accent6 4" xfId="264"/>
    <cellStyle name="20% - Accent6 5" xfId="316"/>
    <cellStyle name="20% - Accent6 6" xfId="323"/>
    <cellStyle name="20% - Accent6 7" xfId="331"/>
    <cellStyle name="20% - Accent6 8" xfId="472"/>
    <cellStyle name="20% - Accent6 9" xfId="190"/>
    <cellStyle name="40% - Accent1" xfId="7" builtinId="31" customBuiltin="1"/>
    <cellStyle name="40% - Accent1 2" xfId="49"/>
    <cellStyle name="40% - Accent1 2 2" xfId="151"/>
    <cellStyle name="40% - Accent1 2 2 2" xfId="408"/>
    <cellStyle name="40% - Accent1 2 2 3" xfId="271"/>
    <cellStyle name="40% - Accent1 2 3" xfId="115"/>
    <cellStyle name="40% - Accent1 2 3 2" xfId="441"/>
    <cellStyle name="40% - Accent1 2 4" xfId="377"/>
    <cellStyle name="40% - Accent1 2 5" xfId="197"/>
    <cellStyle name="40% - Accent1 2_Rainfall Data 2013" xfId="237"/>
    <cellStyle name="40% - Accent1 3" xfId="99"/>
    <cellStyle name="40% - Accent1 3 2" xfId="163"/>
    <cellStyle name="40% - Accent1 3 2 2" xfId="426"/>
    <cellStyle name="40% - Accent1 3 2 3" xfId="285"/>
    <cellStyle name="40% - Accent1 3 3" xfId="133"/>
    <cellStyle name="40% - Accent1 3 3 2" xfId="459"/>
    <cellStyle name="40% - Accent1 3 4" xfId="393"/>
    <cellStyle name="40% - Accent1 3 5" xfId="212"/>
    <cellStyle name="40% - Accent1 3_Rainfall Data 2013" xfId="238"/>
    <cellStyle name="40% - Accent1 4" xfId="255"/>
    <cellStyle name="40% - Accent1 5" xfId="302"/>
    <cellStyle name="40% - Accent1 6" xfId="304"/>
    <cellStyle name="40% - Accent1 7" xfId="332"/>
    <cellStyle name="40% - Accent1 8" xfId="473"/>
    <cellStyle name="40% - Accent1 9" xfId="181"/>
    <cellStyle name="40% - Accent2" xfId="8" builtinId="35" customBuiltin="1"/>
    <cellStyle name="40% - Accent2 2" xfId="50"/>
    <cellStyle name="40% - Accent2 2 2" xfId="152"/>
    <cellStyle name="40% - Accent2 2 2 2" xfId="409"/>
    <cellStyle name="40% - Accent2 2 2 3" xfId="273"/>
    <cellStyle name="40% - Accent2 2 3" xfId="116"/>
    <cellStyle name="40% - Accent2 2 3 2" xfId="442"/>
    <cellStyle name="40% - Accent2 2 4" xfId="378"/>
    <cellStyle name="40% - Accent2 2 5" xfId="199"/>
    <cellStyle name="40% - Accent2 2_Rainfall Data 2013" xfId="239"/>
    <cellStyle name="40% - Accent2 3" xfId="100"/>
    <cellStyle name="40% - Accent2 3 2" xfId="165"/>
    <cellStyle name="40% - Accent2 3 2 2" xfId="427"/>
    <cellStyle name="40% - Accent2 3 2 3" xfId="287"/>
    <cellStyle name="40% - Accent2 3 3" xfId="134"/>
    <cellStyle name="40% - Accent2 3 3 2" xfId="460"/>
    <cellStyle name="40% - Accent2 3 4" xfId="394"/>
    <cellStyle name="40% - Accent2 3 5" xfId="214"/>
    <cellStyle name="40% - Accent2 3_Rainfall Data 2013" xfId="240"/>
    <cellStyle name="40% - Accent2 4" xfId="257"/>
    <cellStyle name="40% - Accent2 5" xfId="306"/>
    <cellStyle name="40% - Accent2 6" xfId="312"/>
    <cellStyle name="40% - Accent2 7" xfId="333"/>
    <cellStyle name="40% - Accent2 8" xfId="474"/>
    <cellStyle name="40% - Accent2 9" xfId="183"/>
    <cellStyle name="40% - Accent3" xfId="9" builtinId="39" customBuiltin="1"/>
    <cellStyle name="40% - Accent3 2" xfId="88"/>
    <cellStyle name="40% - Accent3 2 2" xfId="153"/>
    <cellStyle name="40% - Accent3 2 2 2" xfId="418"/>
    <cellStyle name="40% - Accent3 2 2 3" xfId="275"/>
    <cellStyle name="40% - Accent3 2 3" xfId="125"/>
    <cellStyle name="40% - Accent3 2 3 2" xfId="451"/>
    <cellStyle name="40% - Accent3 2 4" xfId="379"/>
    <cellStyle name="40% - Accent3 2 5" xfId="201"/>
    <cellStyle name="40% - Accent3 2_Rainfall Data 2013" xfId="241"/>
    <cellStyle name="40% - Accent3 3" xfId="51"/>
    <cellStyle name="40% - Accent3 3 2" xfId="154"/>
    <cellStyle name="40% - Accent3 3 2 2" xfId="410"/>
    <cellStyle name="40% - Accent3 3 2 3" xfId="289"/>
    <cellStyle name="40% - Accent3 3 3" xfId="117"/>
    <cellStyle name="40% - Accent3 3 3 2" xfId="443"/>
    <cellStyle name="40% - Accent3 3 4" xfId="380"/>
    <cellStyle name="40% - Accent3 3 5" xfId="216"/>
    <cellStyle name="40% - Accent3 3_Rainfall Data 2013" xfId="242"/>
    <cellStyle name="40% - Accent3 4" xfId="101"/>
    <cellStyle name="40% - Accent3 4 2" xfId="167"/>
    <cellStyle name="40% - Accent3 4 2 2" xfId="428"/>
    <cellStyle name="40% - Accent3 4 3" xfId="135"/>
    <cellStyle name="40% - Accent3 4 3 2" xfId="461"/>
    <cellStyle name="40% - Accent3 4 4" xfId="395"/>
    <cellStyle name="40% - Accent3 4 5" xfId="259"/>
    <cellStyle name="40% - Accent3 5" xfId="309"/>
    <cellStyle name="40% - Accent3 6" xfId="318"/>
    <cellStyle name="40% - Accent3 7" xfId="334"/>
    <cellStyle name="40% - Accent3 8" xfId="475"/>
    <cellStyle name="40% - Accent3 9" xfId="185"/>
    <cellStyle name="40% - Accent4" xfId="10" builtinId="43" customBuiltin="1"/>
    <cellStyle name="40% - Accent4 2" xfId="52"/>
    <cellStyle name="40% - Accent4 2 2" xfId="155"/>
    <cellStyle name="40% - Accent4 2 2 2" xfId="411"/>
    <cellStyle name="40% - Accent4 2 2 3" xfId="277"/>
    <cellStyle name="40% - Accent4 2 3" xfId="118"/>
    <cellStyle name="40% - Accent4 2 3 2" xfId="444"/>
    <cellStyle name="40% - Accent4 2 4" xfId="381"/>
    <cellStyle name="40% - Accent4 2 5" xfId="203"/>
    <cellStyle name="40% - Accent4 2_Rainfall Data 2013" xfId="243"/>
    <cellStyle name="40% - Accent4 3" xfId="102"/>
    <cellStyle name="40% - Accent4 3 2" xfId="169"/>
    <cellStyle name="40% - Accent4 3 2 2" xfId="429"/>
    <cellStyle name="40% - Accent4 3 2 3" xfId="291"/>
    <cellStyle name="40% - Accent4 3 3" xfId="136"/>
    <cellStyle name="40% - Accent4 3 3 2" xfId="462"/>
    <cellStyle name="40% - Accent4 3 4" xfId="396"/>
    <cellStyle name="40% - Accent4 3 5" xfId="218"/>
    <cellStyle name="40% - Accent4 3_Rainfall Data 2013" xfId="244"/>
    <cellStyle name="40% - Accent4 4" xfId="261"/>
    <cellStyle name="40% - Accent4 5" xfId="311"/>
    <cellStyle name="40% - Accent4 6" xfId="320"/>
    <cellStyle name="40% - Accent4 7" xfId="335"/>
    <cellStyle name="40% - Accent4 8" xfId="476"/>
    <cellStyle name="40% - Accent4 9" xfId="187"/>
    <cellStyle name="40% - Accent5" xfId="11" builtinId="47" customBuiltin="1"/>
    <cellStyle name="40% - Accent5 2" xfId="53"/>
    <cellStyle name="40% - Accent5 2 2" xfId="156"/>
    <cellStyle name="40% - Accent5 2 2 2" xfId="412"/>
    <cellStyle name="40% - Accent5 2 2 3" xfId="279"/>
    <cellStyle name="40% - Accent5 2 3" xfId="119"/>
    <cellStyle name="40% - Accent5 2 3 2" xfId="445"/>
    <cellStyle name="40% - Accent5 2 4" xfId="382"/>
    <cellStyle name="40% - Accent5 2 5" xfId="205"/>
    <cellStyle name="40% - Accent5 2_Rainfall Data 2013" xfId="245"/>
    <cellStyle name="40% - Accent5 3" xfId="103"/>
    <cellStyle name="40% - Accent5 3 2" xfId="171"/>
    <cellStyle name="40% - Accent5 3 2 2" xfId="430"/>
    <cellStyle name="40% - Accent5 3 2 3" xfId="293"/>
    <cellStyle name="40% - Accent5 3 3" xfId="137"/>
    <cellStyle name="40% - Accent5 3 3 2" xfId="463"/>
    <cellStyle name="40% - Accent5 3 4" xfId="397"/>
    <cellStyle name="40% - Accent5 3 5" xfId="220"/>
    <cellStyle name="40% - Accent5 3_Rainfall Data 2013" xfId="246"/>
    <cellStyle name="40% - Accent5 4" xfId="263"/>
    <cellStyle name="40% - Accent5 5" xfId="314"/>
    <cellStyle name="40% - Accent5 6" xfId="322"/>
    <cellStyle name="40% - Accent5 7" xfId="336"/>
    <cellStyle name="40% - Accent5 8" xfId="477"/>
    <cellStyle name="40% - Accent5 9" xfId="189"/>
    <cellStyle name="40% - Accent6" xfId="12" builtinId="51" customBuiltin="1"/>
    <cellStyle name="40% - Accent6 2" xfId="54"/>
    <cellStyle name="40% - Accent6 2 2" xfId="157"/>
    <cellStyle name="40% - Accent6 2 2 2" xfId="413"/>
    <cellStyle name="40% - Accent6 2 2 3" xfId="281"/>
    <cellStyle name="40% - Accent6 2 3" xfId="120"/>
    <cellStyle name="40% - Accent6 2 3 2" xfId="446"/>
    <cellStyle name="40% - Accent6 2 4" xfId="383"/>
    <cellStyle name="40% - Accent6 2 5" xfId="207"/>
    <cellStyle name="40% - Accent6 2_Rainfall Data 2013" xfId="247"/>
    <cellStyle name="40% - Accent6 3" xfId="104"/>
    <cellStyle name="40% - Accent6 3 2" xfId="173"/>
    <cellStyle name="40% - Accent6 3 2 2" xfId="431"/>
    <cellStyle name="40% - Accent6 3 2 3" xfId="295"/>
    <cellStyle name="40% - Accent6 3 3" xfId="138"/>
    <cellStyle name="40% - Accent6 3 3 2" xfId="464"/>
    <cellStyle name="40% - Accent6 3 4" xfId="398"/>
    <cellStyle name="40% - Accent6 3 5" xfId="222"/>
    <cellStyle name="40% - Accent6 3_Rainfall Data 2013" xfId="248"/>
    <cellStyle name="40% - Accent6 4" xfId="265"/>
    <cellStyle name="40% - Accent6 5" xfId="317"/>
    <cellStyle name="40% - Accent6 6" xfId="324"/>
    <cellStyle name="40% - Accent6 7" xfId="337"/>
    <cellStyle name="40% - Accent6 8" xfId="478"/>
    <cellStyle name="40% - Accent6 9" xfId="191"/>
    <cellStyle name="60% - Accent1" xfId="13" builtinId="32" customBuiltin="1"/>
    <cellStyle name="60% - Accent1 2" xfId="55"/>
    <cellStyle name="60% - Accent1 3" xfId="338"/>
    <cellStyle name="60% - Accent2" xfId="14" builtinId="36" customBuiltin="1"/>
    <cellStyle name="60% - Accent2 2" xfId="56"/>
    <cellStyle name="60% - Accent2 3" xfId="339"/>
    <cellStyle name="60% - Accent3" xfId="15" builtinId="40" customBuiltin="1"/>
    <cellStyle name="60% - Accent3 2" xfId="89"/>
    <cellStyle name="60% - Accent3 3" xfId="57"/>
    <cellStyle name="60% - Accent3 4" xfId="340"/>
    <cellStyle name="60% - Accent4" xfId="16" builtinId="44" customBuiltin="1"/>
    <cellStyle name="60% - Accent4 2" xfId="91"/>
    <cellStyle name="60% - Accent4 3" xfId="58"/>
    <cellStyle name="60% - Accent4 4" xfId="341"/>
    <cellStyle name="60% - Accent5" xfId="17" builtinId="48" customBuiltin="1"/>
    <cellStyle name="60% - Accent5 2" xfId="59"/>
    <cellStyle name="60% - Accent5 3" xfId="342"/>
    <cellStyle name="60% - Accent6" xfId="18" builtinId="52" customBuiltin="1"/>
    <cellStyle name="60% - Accent6 2" xfId="92"/>
    <cellStyle name="60% - Accent6 3" xfId="60"/>
    <cellStyle name="60% - Accent6 4" xfId="343"/>
    <cellStyle name="Accent1" xfId="19" builtinId="29" customBuiltin="1"/>
    <cellStyle name="Accent1 2" xfId="61"/>
    <cellStyle name="Accent1 3" xfId="344"/>
    <cellStyle name="Accent2" xfId="20" builtinId="33" customBuiltin="1"/>
    <cellStyle name="Accent2 2" xfId="62"/>
    <cellStyle name="Accent2 3" xfId="345"/>
    <cellStyle name="Accent3" xfId="21" builtinId="37" customBuiltin="1"/>
    <cellStyle name="Accent3 2" xfId="63"/>
    <cellStyle name="Accent3 3" xfId="346"/>
    <cellStyle name="Accent4" xfId="22" builtinId="41" customBuiltin="1"/>
    <cellStyle name="Accent4 2" xfId="64"/>
    <cellStyle name="Accent4 3" xfId="347"/>
    <cellStyle name="Accent5" xfId="23" builtinId="45" customBuiltin="1"/>
    <cellStyle name="Accent5 2" xfId="65"/>
    <cellStyle name="Accent5 3" xfId="348"/>
    <cellStyle name="Accent6" xfId="24" builtinId="49" customBuiltin="1"/>
    <cellStyle name="Accent6 2" xfId="66"/>
    <cellStyle name="Accent6 3" xfId="349"/>
    <cellStyle name="Bad" xfId="25" builtinId="27" customBuiltin="1"/>
    <cellStyle name="Bad 2" xfId="67"/>
    <cellStyle name="Bad 3" xfId="350"/>
    <cellStyle name="Calculation" xfId="26" builtinId="22" customBuiltin="1"/>
    <cellStyle name="Calculation 2" xfId="68"/>
    <cellStyle name="Calculation 3" xfId="351"/>
    <cellStyle name="Check Cell" xfId="27" builtinId="23" customBuiltin="1"/>
    <cellStyle name="Check Cell 2" xfId="69"/>
    <cellStyle name="Check Cell 3" xfId="352"/>
    <cellStyle name="Excel Built-in Normal" xfId="107"/>
    <cellStyle name="Explanatory Text" xfId="28" builtinId="53" customBuiltin="1"/>
    <cellStyle name="Explanatory Text 2" xfId="70"/>
    <cellStyle name="Explanatory Text 3" xfId="353"/>
    <cellStyle name="Good" xfId="29" builtinId="26" customBuiltin="1"/>
    <cellStyle name="Good 2" xfId="71"/>
    <cellStyle name="Good 3" xfId="354"/>
    <cellStyle name="Heading 1" xfId="30" builtinId="16" customBuiltin="1"/>
    <cellStyle name="Heading 1 2" xfId="72"/>
    <cellStyle name="Heading 1 3" xfId="355"/>
    <cellStyle name="Heading 2" xfId="31" builtinId="17" customBuiltin="1"/>
    <cellStyle name="Heading 2 2" xfId="73"/>
    <cellStyle name="Heading 2 3" xfId="356"/>
    <cellStyle name="Heading 3" xfId="32" builtinId="18" customBuiltin="1"/>
    <cellStyle name="Heading 3 2" xfId="74"/>
    <cellStyle name="Heading 3 3" xfId="357"/>
    <cellStyle name="Heading 4" xfId="33" builtinId="19" customBuiltin="1"/>
    <cellStyle name="Heading 4 2" xfId="75"/>
    <cellStyle name="Heading 4 3" xfId="358"/>
    <cellStyle name="Hyperlink" xfId="176" builtinId="8"/>
    <cellStyle name="Input" xfId="34" builtinId="20" customBuiltin="1"/>
    <cellStyle name="Input 2" xfId="76"/>
    <cellStyle name="Input 3" xfId="359"/>
    <cellStyle name="Linked Cell" xfId="35" builtinId="24" customBuiltin="1"/>
    <cellStyle name="Linked Cell 2" xfId="77"/>
    <cellStyle name="Linked Cell 3" xfId="360"/>
    <cellStyle name="Neutral" xfId="36" builtinId="28" customBuiltin="1"/>
    <cellStyle name="Neutral 2" xfId="78"/>
    <cellStyle name="Neutral 3" xfId="361"/>
    <cellStyle name="Normal" xfId="0" builtinId="0"/>
    <cellStyle name="Normal 10" xfId="325"/>
    <cellStyle name="Normal 11" xfId="179"/>
    <cellStyle name="Normal 2" xfId="42"/>
    <cellStyle name="Normal 2 2" xfId="175"/>
    <cellStyle name="Normal 2 2 2" xfId="401"/>
    <cellStyle name="Normal 2 2 3" xfId="266"/>
    <cellStyle name="Normal 2 3" xfId="158"/>
    <cellStyle name="Normal 2 3 2" xfId="434"/>
    <cellStyle name="Normal 2 4" xfId="108"/>
    <cellStyle name="Normal 2 4 2" xfId="384"/>
    <cellStyle name="Normal 2 5" xfId="192"/>
    <cellStyle name="Normal 2_Rainfall Data 2013" xfId="249"/>
    <cellStyle name="Normal 3" xfId="105"/>
    <cellStyle name="Normal 3 2" xfId="160"/>
    <cellStyle name="Normal 3 2 2" xfId="432"/>
    <cellStyle name="Normal 3 2 3" xfId="268"/>
    <cellStyle name="Normal 3 3" xfId="139"/>
    <cellStyle name="Normal 3 3 2" xfId="465"/>
    <cellStyle name="Normal 3 4" xfId="399"/>
    <cellStyle name="Normal 3 5" xfId="194"/>
    <cellStyle name="Normal 3_Rainfall Data 2013" xfId="250"/>
    <cellStyle name="Normal 4" xfId="177"/>
    <cellStyle name="Normal 4 2" xfId="208"/>
    <cellStyle name="Normal 5" xfId="174"/>
    <cellStyle name="Normal 5 2" xfId="282"/>
    <cellStyle name="Normal 5 3" xfId="209"/>
    <cellStyle name="Normal 5_Rainfall Data 2013" xfId="251"/>
    <cellStyle name="Normal 6" xfId="223"/>
    <cellStyle name="Normal 6 2" xfId="296"/>
    <cellStyle name="Normal 6 4" xfId="479"/>
    <cellStyle name="Normal 6_Rainfall Data 2013" xfId="252"/>
    <cellStyle name="Normal 7" xfId="224"/>
    <cellStyle name="Normal 7 2" xfId="297"/>
    <cellStyle name="Normal 7_Rainfall Data 2013" xfId="253"/>
    <cellStyle name="Normal 8" xfId="298"/>
    <cellStyle name="Normal 9" xfId="299"/>
    <cellStyle name="Normal_Sheet1" xfId="178"/>
    <cellStyle name="Note" xfId="37" builtinId="10" customBuiltin="1"/>
    <cellStyle name="Note 2" xfId="84"/>
    <cellStyle name="Note 2 2" xfId="159"/>
    <cellStyle name="Note 2 2 2" xfId="414"/>
    <cellStyle name="Note 2 2 3" xfId="267"/>
    <cellStyle name="Note 2 3" xfId="121"/>
    <cellStyle name="Note 2 3 2" xfId="447"/>
    <cellStyle name="Note 2 4" xfId="385"/>
    <cellStyle name="Note 2 5" xfId="193"/>
    <cellStyle name="Note 3" xfId="79"/>
    <cellStyle name="Note 3 2" xfId="269"/>
    <cellStyle name="Note 3 3" xfId="386"/>
    <cellStyle name="Note 3 4" xfId="195"/>
    <cellStyle name="Note 4" xfId="106"/>
    <cellStyle name="Note 4 2" xfId="161"/>
    <cellStyle name="Note 4 2 2" xfId="433"/>
    <cellStyle name="Note 4 2 3" xfId="283"/>
    <cellStyle name="Note 4 3" xfId="140"/>
    <cellStyle name="Note 4 3 2" xfId="466"/>
    <cellStyle name="Note 4 4" xfId="400"/>
    <cellStyle name="Note 4 5" xfId="210"/>
    <cellStyle name="Note 5" xfId="300"/>
    <cellStyle name="Note 6" xfId="362"/>
    <cellStyle name="Output" xfId="38" builtinId="21" customBuiltin="1"/>
    <cellStyle name="Output 2" xfId="80"/>
    <cellStyle name="Output 3" xfId="363"/>
    <cellStyle name="Title" xfId="39" builtinId="15" customBuiltin="1"/>
    <cellStyle name="Title 2" xfId="81"/>
    <cellStyle name="Title 3" xfId="364"/>
    <cellStyle name="Total" xfId="40" builtinId="25" customBuiltin="1"/>
    <cellStyle name="Total 2" xfId="82"/>
    <cellStyle name="Total 3" xfId="365"/>
    <cellStyle name="Warning Text" xfId="41" builtinId="11" customBuiltin="1"/>
    <cellStyle name="Warning Text 2" xfId="83"/>
    <cellStyle name="Warning Text 3" xfId="3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7462744618062638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41759</c:v>
                </c:pt>
                <c:pt idx="1">
                  <c:v>41760</c:v>
                </c:pt>
                <c:pt idx="2">
                  <c:v>41761</c:v>
                </c:pt>
                <c:pt idx="3">
                  <c:v>41762</c:v>
                </c:pt>
                <c:pt idx="4">
                  <c:v>41763</c:v>
                </c:pt>
                <c:pt idx="5">
                  <c:v>41764</c:v>
                </c:pt>
                <c:pt idx="6">
                  <c:v>41765</c:v>
                </c:pt>
                <c:pt idx="7">
                  <c:v>41766</c:v>
                </c:pt>
                <c:pt idx="8">
                  <c:v>41767</c:v>
                </c:pt>
                <c:pt idx="9">
                  <c:v>41768</c:v>
                </c:pt>
                <c:pt idx="10">
                  <c:v>41769</c:v>
                </c:pt>
                <c:pt idx="11">
                  <c:v>41770</c:v>
                </c:pt>
                <c:pt idx="12">
                  <c:v>41771</c:v>
                </c:pt>
                <c:pt idx="13">
                  <c:v>41772</c:v>
                </c:pt>
                <c:pt idx="14">
                  <c:v>41773</c:v>
                </c:pt>
                <c:pt idx="15">
                  <c:v>41774</c:v>
                </c:pt>
                <c:pt idx="16">
                  <c:v>41775</c:v>
                </c:pt>
                <c:pt idx="17">
                  <c:v>41776</c:v>
                </c:pt>
                <c:pt idx="18">
                  <c:v>41777</c:v>
                </c:pt>
                <c:pt idx="19">
                  <c:v>41778</c:v>
                </c:pt>
                <c:pt idx="20">
                  <c:v>41779</c:v>
                </c:pt>
                <c:pt idx="21">
                  <c:v>41780</c:v>
                </c:pt>
                <c:pt idx="22">
                  <c:v>41781</c:v>
                </c:pt>
                <c:pt idx="23">
                  <c:v>41782</c:v>
                </c:pt>
                <c:pt idx="24">
                  <c:v>41783</c:v>
                </c:pt>
                <c:pt idx="25">
                  <c:v>41784</c:v>
                </c:pt>
                <c:pt idx="26">
                  <c:v>41785</c:v>
                </c:pt>
                <c:pt idx="27">
                  <c:v>41786</c:v>
                </c:pt>
                <c:pt idx="28">
                  <c:v>41787</c:v>
                </c:pt>
                <c:pt idx="29">
                  <c:v>41788</c:v>
                </c:pt>
                <c:pt idx="30">
                  <c:v>41789</c:v>
                </c:pt>
                <c:pt idx="31">
                  <c:v>41790</c:v>
                </c:pt>
                <c:pt idx="32">
                  <c:v>41791</c:v>
                </c:pt>
                <c:pt idx="33">
                  <c:v>41792</c:v>
                </c:pt>
                <c:pt idx="34">
                  <c:v>41793</c:v>
                </c:pt>
                <c:pt idx="35">
                  <c:v>41794</c:v>
                </c:pt>
                <c:pt idx="36">
                  <c:v>41795</c:v>
                </c:pt>
                <c:pt idx="37">
                  <c:v>41796</c:v>
                </c:pt>
                <c:pt idx="38">
                  <c:v>41797</c:v>
                </c:pt>
                <c:pt idx="39">
                  <c:v>41798</c:v>
                </c:pt>
                <c:pt idx="40">
                  <c:v>41799</c:v>
                </c:pt>
                <c:pt idx="41">
                  <c:v>41800</c:v>
                </c:pt>
                <c:pt idx="42">
                  <c:v>41801</c:v>
                </c:pt>
                <c:pt idx="43">
                  <c:v>41802</c:v>
                </c:pt>
                <c:pt idx="44">
                  <c:v>41803</c:v>
                </c:pt>
                <c:pt idx="45">
                  <c:v>41804</c:v>
                </c:pt>
                <c:pt idx="46">
                  <c:v>41805</c:v>
                </c:pt>
                <c:pt idx="47">
                  <c:v>41806</c:v>
                </c:pt>
                <c:pt idx="48">
                  <c:v>41807</c:v>
                </c:pt>
                <c:pt idx="49">
                  <c:v>41808</c:v>
                </c:pt>
                <c:pt idx="50">
                  <c:v>41809</c:v>
                </c:pt>
                <c:pt idx="51">
                  <c:v>41810</c:v>
                </c:pt>
                <c:pt idx="52">
                  <c:v>41811</c:v>
                </c:pt>
                <c:pt idx="53">
                  <c:v>41812</c:v>
                </c:pt>
                <c:pt idx="54">
                  <c:v>41813</c:v>
                </c:pt>
                <c:pt idx="55">
                  <c:v>41814</c:v>
                </c:pt>
                <c:pt idx="56">
                  <c:v>41815</c:v>
                </c:pt>
                <c:pt idx="57">
                  <c:v>41816</c:v>
                </c:pt>
                <c:pt idx="58">
                  <c:v>41817</c:v>
                </c:pt>
                <c:pt idx="59">
                  <c:v>41818</c:v>
                </c:pt>
                <c:pt idx="60">
                  <c:v>41819</c:v>
                </c:pt>
                <c:pt idx="61">
                  <c:v>41820</c:v>
                </c:pt>
                <c:pt idx="62">
                  <c:v>41821</c:v>
                </c:pt>
                <c:pt idx="63">
                  <c:v>41822</c:v>
                </c:pt>
                <c:pt idx="64">
                  <c:v>41823</c:v>
                </c:pt>
                <c:pt idx="65">
                  <c:v>41824</c:v>
                </c:pt>
                <c:pt idx="66">
                  <c:v>41825</c:v>
                </c:pt>
                <c:pt idx="67">
                  <c:v>41826</c:v>
                </c:pt>
                <c:pt idx="68">
                  <c:v>41827</c:v>
                </c:pt>
                <c:pt idx="69">
                  <c:v>41828</c:v>
                </c:pt>
                <c:pt idx="70">
                  <c:v>41829</c:v>
                </c:pt>
                <c:pt idx="71">
                  <c:v>41830</c:v>
                </c:pt>
                <c:pt idx="72">
                  <c:v>41831</c:v>
                </c:pt>
                <c:pt idx="73">
                  <c:v>41832</c:v>
                </c:pt>
                <c:pt idx="74">
                  <c:v>41833</c:v>
                </c:pt>
                <c:pt idx="75">
                  <c:v>41834</c:v>
                </c:pt>
                <c:pt idx="76">
                  <c:v>41835</c:v>
                </c:pt>
                <c:pt idx="77">
                  <c:v>41836</c:v>
                </c:pt>
                <c:pt idx="78">
                  <c:v>41837</c:v>
                </c:pt>
                <c:pt idx="79">
                  <c:v>41838</c:v>
                </c:pt>
                <c:pt idx="80">
                  <c:v>41839</c:v>
                </c:pt>
                <c:pt idx="81">
                  <c:v>41840</c:v>
                </c:pt>
                <c:pt idx="82">
                  <c:v>41841</c:v>
                </c:pt>
                <c:pt idx="83">
                  <c:v>41842</c:v>
                </c:pt>
                <c:pt idx="84">
                  <c:v>41843</c:v>
                </c:pt>
                <c:pt idx="85">
                  <c:v>41844</c:v>
                </c:pt>
                <c:pt idx="86">
                  <c:v>41845</c:v>
                </c:pt>
                <c:pt idx="87">
                  <c:v>41846</c:v>
                </c:pt>
                <c:pt idx="88">
                  <c:v>41847</c:v>
                </c:pt>
                <c:pt idx="89">
                  <c:v>41848</c:v>
                </c:pt>
                <c:pt idx="90">
                  <c:v>41849</c:v>
                </c:pt>
                <c:pt idx="91">
                  <c:v>41850</c:v>
                </c:pt>
                <c:pt idx="92">
                  <c:v>41851</c:v>
                </c:pt>
                <c:pt idx="93">
                  <c:v>41852</c:v>
                </c:pt>
                <c:pt idx="94">
                  <c:v>41853</c:v>
                </c:pt>
                <c:pt idx="95">
                  <c:v>41854</c:v>
                </c:pt>
                <c:pt idx="96">
                  <c:v>41855</c:v>
                </c:pt>
                <c:pt idx="97">
                  <c:v>41856</c:v>
                </c:pt>
                <c:pt idx="98">
                  <c:v>41857</c:v>
                </c:pt>
                <c:pt idx="99">
                  <c:v>41858</c:v>
                </c:pt>
                <c:pt idx="100">
                  <c:v>41859</c:v>
                </c:pt>
                <c:pt idx="101">
                  <c:v>41860</c:v>
                </c:pt>
                <c:pt idx="102">
                  <c:v>41861</c:v>
                </c:pt>
                <c:pt idx="103">
                  <c:v>41862</c:v>
                </c:pt>
                <c:pt idx="104">
                  <c:v>41863</c:v>
                </c:pt>
                <c:pt idx="105">
                  <c:v>41864</c:v>
                </c:pt>
                <c:pt idx="106">
                  <c:v>41865</c:v>
                </c:pt>
                <c:pt idx="107">
                  <c:v>41866</c:v>
                </c:pt>
                <c:pt idx="108">
                  <c:v>41867</c:v>
                </c:pt>
                <c:pt idx="109">
                  <c:v>41868</c:v>
                </c:pt>
                <c:pt idx="110">
                  <c:v>41869</c:v>
                </c:pt>
                <c:pt idx="111">
                  <c:v>41870</c:v>
                </c:pt>
                <c:pt idx="112">
                  <c:v>41871</c:v>
                </c:pt>
                <c:pt idx="113">
                  <c:v>41872</c:v>
                </c:pt>
                <c:pt idx="114">
                  <c:v>41873</c:v>
                </c:pt>
                <c:pt idx="115">
                  <c:v>41874</c:v>
                </c:pt>
                <c:pt idx="116">
                  <c:v>41875</c:v>
                </c:pt>
                <c:pt idx="117">
                  <c:v>41876</c:v>
                </c:pt>
                <c:pt idx="118">
                  <c:v>41877</c:v>
                </c:pt>
                <c:pt idx="119">
                  <c:v>41878</c:v>
                </c:pt>
                <c:pt idx="120">
                  <c:v>41879</c:v>
                </c:pt>
                <c:pt idx="121">
                  <c:v>41880</c:v>
                </c:pt>
                <c:pt idx="122">
                  <c:v>41881</c:v>
                </c:pt>
                <c:pt idx="123">
                  <c:v>41882</c:v>
                </c:pt>
                <c:pt idx="124">
                  <c:v>41883</c:v>
                </c:pt>
                <c:pt idx="125">
                  <c:v>41884</c:v>
                </c:pt>
                <c:pt idx="126">
                  <c:v>41885</c:v>
                </c:pt>
                <c:pt idx="127">
                  <c:v>41886</c:v>
                </c:pt>
                <c:pt idx="128">
                  <c:v>41887</c:v>
                </c:pt>
                <c:pt idx="129">
                  <c:v>41888</c:v>
                </c:pt>
                <c:pt idx="130">
                  <c:v>41889</c:v>
                </c:pt>
                <c:pt idx="131">
                  <c:v>41890</c:v>
                </c:pt>
                <c:pt idx="132">
                  <c:v>41891</c:v>
                </c:pt>
                <c:pt idx="133">
                  <c:v>41892</c:v>
                </c:pt>
                <c:pt idx="134">
                  <c:v>41893</c:v>
                </c:pt>
                <c:pt idx="135">
                  <c:v>41894</c:v>
                </c:pt>
                <c:pt idx="136">
                  <c:v>41895</c:v>
                </c:pt>
                <c:pt idx="137">
                  <c:v>41896</c:v>
                </c:pt>
                <c:pt idx="138">
                  <c:v>41897</c:v>
                </c:pt>
                <c:pt idx="139">
                  <c:v>41898</c:v>
                </c:pt>
                <c:pt idx="140">
                  <c:v>41899</c:v>
                </c:pt>
                <c:pt idx="141">
                  <c:v>41900</c:v>
                </c:pt>
                <c:pt idx="142">
                  <c:v>41901</c:v>
                </c:pt>
                <c:pt idx="143">
                  <c:v>41902</c:v>
                </c:pt>
                <c:pt idx="144">
                  <c:v>41903</c:v>
                </c:pt>
                <c:pt idx="145">
                  <c:v>41904</c:v>
                </c:pt>
                <c:pt idx="146">
                  <c:v>41905</c:v>
                </c:pt>
                <c:pt idx="147">
                  <c:v>41906</c:v>
                </c:pt>
                <c:pt idx="148">
                  <c:v>41907</c:v>
                </c:pt>
                <c:pt idx="149">
                  <c:v>41908</c:v>
                </c:pt>
                <c:pt idx="150">
                  <c:v>41909</c:v>
                </c:pt>
                <c:pt idx="151">
                  <c:v>41910</c:v>
                </c:pt>
                <c:pt idx="152">
                  <c:v>41911</c:v>
                </c:pt>
                <c:pt idx="153">
                  <c:v>41912</c:v>
                </c:pt>
                <c:pt idx="154">
                  <c:v>41913</c:v>
                </c:pt>
                <c:pt idx="155">
                  <c:v>41914</c:v>
                </c:pt>
                <c:pt idx="156">
                  <c:v>41915</c:v>
                </c:pt>
                <c:pt idx="157">
                  <c:v>41916</c:v>
                </c:pt>
                <c:pt idx="158">
                  <c:v>41917</c:v>
                </c:pt>
                <c:pt idx="159">
                  <c:v>41918</c:v>
                </c:pt>
                <c:pt idx="160">
                  <c:v>41919</c:v>
                </c:pt>
                <c:pt idx="161">
                  <c:v>41920</c:v>
                </c:pt>
                <c:pt idx="162">
                  <c:v>41921</c:v>
                </c:pt>
                <c:pt idx="163">
                  <c:v>41922</c:v>
                </c:pt>
                <c:pt idx="164">
                  <c:v>41923</c:v>
                </c:pt>
                <c:pt idx="165">
                  <c:v>41924</c:v>
                </c:pt>
                <c:pt idx="166">
                  <c:v>41925</c:v>
                </c:pt>
                <c:pt idx="167">
                  <c:v>41926</c:v>
                </c:pt>
                <c:pt idx="168">
                  <c:v>41927</c:v>
                </c:pt>
                <c:pt idx="169">
                  <c:v>41928</c:v>
                </c:pt>
                <c:pt idx="170">
                  <c:v>41929</c:v>
                </c:pt>
                <c:pt idx="171">
                  <c:v>41930</c:v>
                </c:pt>
                <c:pt idx="172">
                  <c:v>41931</c:v>
                </c:pt>
                <c:pt idx="173">
                  <c:v>41932</c:v>
                </c:pt>
                <c:pt idx="174">
                  <c:v>41933</c:v>
                </c:pt>
                <c:pt idx="175">
                  <c:v>41934</c:v>
                </c:pt>
                <c:pt idx="176">
                  <c:v>41935</c:v>
                </c:pt>
                <c:pt idx="177">
                  <c:v>41936</c:v>
                </c:pt>
                <c:pt idx="178">
                  <c:v>41937</c:v>
                </c:pt>
                <c:pt idx="179">
                  <c:v>41938</c:v>
                </c:pt>
                <c:pt idx="180">
                  <c:v>41939</c:v>
                </c:pt>
                <c:pt idx="181">
                  <c:v>41940</c:v>
                </c:pt>
                <c:pt idx="182">
                  <c:v>41941</c:v>
                </c:pt>
                <c:pt idx="183">
                  <c:v>41942</c:v>
                </c:pt>
                <c:pt idx="184">
                  <c:v>41943</c:v>
                </c:pt>
                <c:pt idx="185">
                  <c:v>41944</c:v>
                </c:pt>
                <c:pt idx="186">
                  <c:v>41945</c:v>
                </c:pt>
                <c:pt idx="187">
                  <c:v>41946</c:v>
                </c:pt>
                <c:pt idx="188">
                  <c:v>41947</c:v>
                </c:pt>
                <c:pt idx="189">
                  <c:v>41948</c:v>
                </c:pt>
                <c:pt idx="190">
                  <c:v>41949</c:v>
                </c:pt>
                <c:pt idx="191">
                  <c:v>41950</c:v>
                </c:pt>
                <c:pt idx="192">
                  <c:v>41951</c:v>
                </c:pt>
                <c:pt idx="193">
                  <c:v>41952</c:v>
                </c:pt>
                <c:pt idx="194">
                  <c:v>41953</c:v>
                </c:pt>
                <c:pt idx="195">
                  <c:v>41954</c:v>
                </c:pt>
                <c:pt idx="196">
                  <c:v>41955</c:v>
                </c:pt>
                <c:pt idx="197">
                  <c:v>41956</c:v>
                </c:pt>
                <c:pt idx="198">
                  <c:v>41957</c:v>
                </c:pt>
                <c:pt idx="199">
                  <c:v>41958</c:v>
                </c:pt>
                <c:pt idx="200">
                  <c:v>41959</c:v>
                </c:pt>
                <c:pt idx="201">
                  <c:v>41960</c:v>
                </c:pt>
                <c:pt idx="202">
                  <c:v>41961</c:v>
                </c:pt>
                <c:pt idx="203">
                  <c:v>41962</c:v>
                </c:pt>
                <c:pt idx="204">
                  <c:v>41963</c:v>
                </c:pt>
                <c:pt idx="205">
                  <c:v>41964</c:v>
                </c:pt>
                <c:pt idx="206">
                  <c:v>41965</c:v>
                </c:pt>
                <c:pt idx="207">
                  <c:v>41966</c:v>
                </c:pt>
                <c:pt idx="208">
                  <c:v>41967</c:v>
                </c:pt>
                <c:pt idx="209">
                  <c:v>41968</c:v>
                </c:pt>
                <c:pt idx="210">
                  <c:v>41969</c:v>
                </c:pt>
                <c:pt idx="211">
                  <c:v>41970</c:v>
                </c:pt>
                <c:pt idx="212">
                  <c:v>41971</c:v>
                </c:pt>
                <c:pt idx="213">
                  <c:v>41972</c:v>
                </c:pt>
                <c:pt idx="214">
                  <c:v>41973</c:v>
                </c:pt>
                <c:pt idx="215">
                  <c:v>41974</c:v>
                </c:pt>
                <c:pt idx="216">
                  <c:v>41975</c:v>
                </c:pt>
                <c:pt idx="217">
                  <c:v>41976</c:v>
                </c:pt>
                <c:pt idx="218">
                  <c:v>41977</c:v>
                </c:pt>
                <c:pt idx="219">
                  <c:v>41978</c:v>
                </c:pt>
                <c:pt idx="220">
                  <c:v>41979</c:v>
                </c:pt>
                <c:pt idx="221">
                  <c:v>41980</c:v>
                </c:pt>
                <c:pt idx="222">
                  <c:v>41981</c:v>
                </c:pt>
                <c:pt idx="223">
                  <c:v>41982</c:v>
                </c:pt>
                <c:pt idx="224">
                  <c:v>41983</c:v>
                </c:pt>
                <c:pt idx="225">
                  <c:v>41984</c:v>
                </c:pt>
                <c:pt idx="226">
                  <c:v>41985</c:v>
                </c:pt>
                <c:pt idx="227">
                  <c:v>41986</c:v>
                </c:pt>
                <c:pt idx="228">
                  <c:v>41987</c:v>
                </c:pt>
                <c:pt idx="229">
                  <c:v>41988</c:v>
                </c:pt>
                <c:pt idx="230">
                  <c:v>41989</c:v>
                </c:pt>
                <c:pt idx="231">
                  <c:v>41990</c:v>
                </c:pt>
                <c:pt idx="232">
                  <c:v>41991</c:v>
                </c:pt>
                <c:pt idx="233">
                  <c:v>41992</c:v>
                </c:pt>
                <c:pt idx="234">
                  <c:v>41993</c:v>
                </c:pt>
                <c:pt idx="235">
                  <c:v>41994</c:v>
                </c:pt>
                <c:pt idx="236">
                  <c:v>41995</c:v>
                </c:pt>
                <c:pt idx="237">
                  <c:v>41996</c:v>
                </c:pt>
                <c:pt idx="238">
                  <c:v>41997</c:v>
                </c:pt>
                <c:pt idx="239">
                  <c:v>41998</c:v>
                </c:pt>
                <c:pt idx="240">
                  <c:v>41999</c:v>
                </c:pt>
                <c:pt idx="241">
                  <c:v>42000</c:v>
                </c:pt>
                <c:pt idx="242">
                  <c:v>42001</c:v>
                </c:pt>
                <c:pt idx="243">
                  <c:v>42002</c:v>
                </c:pt>
                <c:pt idx="244">
                  <c:v>42003</c:v>
                </c:pt>
                <c:pt idx="245">
                  <c:v>42004</c:v>
                </c:pt>
                <c:pt idx="246">
                  <c:v>42005</c:v>
                </c:pt>
                <c:pt idx="247">
                  <c:v>42006</c:v>
                </c:pt>
                <c:pt idx="248">
                  <c:v>42007</c:v>
                </c:pt>
                <c:pt idx="249">
                  <c:v>42008</c:v>
                </c:pt>
                <c:pt idx="250">
                  <c:v>42009</c:v>
                </c:pt>
                <c:pt idx="251">
                  <c:v>42010</c:v>
                </c:pt>
                <c:pt idx="252">
                  <c:v>42011</c:v>
                </c:pt>
                <c:pt idx="253">
                  <c:v>42012</c:v>
                </c:pt>
                <c:pt idx="254">
                  <c:v>42013</c:v>
                </c:pt>
                <c:pt idx="255">
                  <c:v>42014</c:v>
                </c:pt>
                <c:pt idx="256">
                  <c:v>42015</c:v>
                </c:pt>
                <c:pt idx="257">
                  <c:v>42016</c:v>
                </c:pt>
                <c:pt idx="258">
                  <c:v>42017</c:v>
                </c:pt>
                <c:pt idx="259">
                  <c:v>42018</c:v>
                </c:pt>
                <c:pt idx="260">
                  <c:v>42019</c:v>
                </c:pt>
                <c:pt idx="261">
                  <c:v>42020</c:v>
                </c:pt>
                <c:pt idx="262">
                  <c:v>42021</c:v>
                </c:pt>
                <c:pt idx="263">
                  <c:v>42022</c:v>
                </c:pt>
                <c:pt idx="264">
                  <c:v>42023</c:v>
                </c:pt>
                <c:pt idx="265">
                  <c:v>42024</c:v>
                </c:pt>
                <c:pt idx="266">
                  <c:v>42025</c:v>
                </c:pt>
                <c:pt idx="267">
                  <c:v>42026</c:v>
                </c:pt>
                <c:pt idx="268">
                  <c:v>42027</c:v>
                </c:pt>
                <c:pt idx="269">
                  <c:v>42028</c:v>
                </c:pt>
                <c:pt idx="270">
                  <c:v>42029</c:v>
                </c:pt>
                <c:pt idx="271">
                  <c:v>42030</c:v>
                </c:pt>
                <c:pt idx="272">
                  <c:v>42031</c:v>
                </c:pt>
                <c:pt idx="273">
                  <c:v>42032</c:v>
                </c:pt>
                <c:pt idx="274">
                  <c:v>42033</c:v>
                </c:pt>
                <c:pt idx="275">
                  <c:v>42034</c:v>
                </c:pt>
                <c:pt idx="276">
                  <c:v>42035</c:v>
                </c:pt>
                <c:pt idx="277">
                  <c:v>42036</c:v>
                </c:pt>
                <c:pt idx="278">
                  <c:v>42037</c:v>
                </c:pt>
                <c:pt idx="279">
                  <c:v>42038</c:v>
                </c:pt>
                <c:pt idx="280">
                  <c:v>42039</c:v>
                </c:pt>
                <c:pt idx="281">
                  <c:v>42040</c:v>
                </c:pt>
                <c:pt idx="282">
                  <c:v>42041</c:v>
                </c:pt>
                <c:pt idx="283">
                  <c:v>42042</c:v>
                </c:pt>
                <c:pt idx="284">
                  <c:v>42043</c:v>
                </c:pt>
                <c:pt idx="285">
                  <c:v>42044</c:v>
                </c:pt>
                <c:pt idx="286">
                  <c:v>42045</c:v>
                </c:pt>
                <c:pt idx="287">
                  <c:v>42046</c:v>
                </c:pt>
                <c:pt idx="288">
                  <c:v>42047</c:v>
                </c:pt>
                <c:pt idx="289">
                  <c:v>42048</c:v>
                </c:pt>
                <c:pt idx="290">
                  <c:v>42049</c:v>
                </c:pt>
                <c:pt idx="291">
                  <c:v>42050</c:v>
                </c:pt>
                <c:pt idx="292">
                  <c:v>42051</c:v>
                </c:pt>
                <c:pt idx="293">
                  <c:v>42052</c:v>
                </c:pt>
                <c:pt idx="294">
                  <c:v>42053</c:v>
                </c:pt>
                <c:pt idx="295">
                  <c:v>42054</c:v>
                </c:pt>
                <c:pt idx="296">
                  <c:v>42055</c:v>
                </c:pt>
                <c:pt idx="297">
                  <c:v>42056</c:v>
                </c:pt>
                <c:pt idx="298">
                  <c:v>42057</c:v>
                </c:pt>
                <c:pt idx="299">
                  <c:v>42058</c:v>
                </c:pt>
                <c:pt idx="300">
                  <c:v>42059</c:v>
                </c:pt>
                <c:pt idx="301">
                  <c:v>42060</c:v>
                </c:pt>
                <c:pt idx="302">
                  <c:v>42061</c:v>
                </c:pt>
                <c:pt idx="303">
                  <c:v>42062</c:v>
                </c:pt>
                <c:pt idx="304">
                  <c:v>42063</c:v>
                </c:pt>
                <c:pt idx="305">
                  <c:v>42064</c:v>
                </c:pt>
                <c:pt idx="306">
                  <c:v>42065</c:v>
                </c:pt>
                <c:pt idx="307">
                  <c:v>42066</c:v>
                </c:pt>
                <c:pt idx="308">
                  <c:v>42067</c:v>
                </c:pt>
                <c:pt idx="309">
                  <c:v>42068</c:v>
                </c:pt>
                <c:pt idx="310">
                  <c:v>42069</c:v>
                </c:pt>
                <c:pt idx="311">
                  <c:v>42070</c:v>
                </c:pt>
                <c:pt idx="312">
                  <c:v>42071</c:v>
                </c:pt>
                <c:pt idx="313">
                  <c:v>42072</c:v>
                </c:pt>
                <c:pt idx="314">
                  <c:v>42073</c:v>
                </c:pt>
                <c:pt idx="315">
                  <c:v>42074</c:v>
                </c:pt>
                <c:pt idx="316">
                  <c:v>42075</c:v>
                </c:pt>
                <c:pt idx="317">
                  <c:v>42076</c:v>
                </c:pt>
                <c:pt idx="318">
                  <c:v>42077</c:v>
                </c:pt>
                <c:pt idx="319">
                  <c:v>42078</c:v>
                </c:pt>
                <c:pt idx="320">
                  <c:v>42079</c:v>
                </c:pt>
                <c:pt idx="321">
                  <c:v>42080</c:v>
                </c:pt>
                <c:pt idx="322">
                  <c:v>42081</c:v>
                </c:pt>
                <c:pt idx="323">
                  <c:v>42082</c:v>
                </c:pt>
                <c:pt idx="324">
                  <c:v>42083</c:v>
                </c:pt>
                <c:pt idx="325">
                  <c:v>42084</c:v>
                </c:pt>
                <c:pt idx="326">
                  <c:v>42085</c:v>
                </c:pt>
                <c:pt idx="327">
                  <c:v>42086</c:v>
                </c:pt>
                <c:pt idx="328">
                  <c:v>42087</c:v>
                </c:pt>
                <c:pt idx="329">
                  <c:v>42088</c:v>
                </c:pt>
                <c:pt idx="330">
                  <c:v>42089</c:v>
                </c:pt>
                <c:pt idx="331">
                  <c:v>42090</c:v>
                </c:pt>
                <c:pt idx="332">
                  <c:v>42091</c:v>
                </c:pt>
                <c:pt idx="333">
                  <c:v>42092</c:v>
                </c:pt>
                <c:pt idx="334">
                  <c:v>42093</c:v>
                </c:pt>
                <c:pt idx="335">
                  <c:v>42094</c:v>
                </c:pt>
                <c:pt idx="336">
                  <c:v>42095</c:v>
                </c:pt>
                <c:pt idx="337">
                  <c:v>42096</c:v>
                </c:pt>
                <c:pt idx="338">
                  <c:v>42097</c:v>
                </c:pt>
                <c:pt idx="339">
                  <c:v>42098</c:v>
                </c:pt>
                <c:pt idx="340">
                  <c:v>42099</c:v>
                </c:pt>
                <c:pt idx="341">
                  <c:v>42100</c:v>
                </c:pt>
                <c:pt idx="342">
                  <c:v>42101</c:v>
                </c:pt>
                <c:pt idx="343">
                  <c:v>42102</c:v>
                </c:pt>
                <c:pt idx="344">
                  <c:v>42103</c:v>
                </c:pt>
                <c:pt idx="345">
                  <c:v>42104</c:v>
                </c:pt>
                <c:pt idx="346">
                  <c:v>42105</c:v>
                </c:pt>
                <c:pt idx="347">
                  <c:v>42106</c:v>
                </c:pt>
                <c:pt idx="348">
                  <c:v>42107</c:v>
                </c:pt>
                <c:pt idx="349">
                  <c:v>42108</c:v>
                </c:pt>
                <c:pt idx="350">
                  <c:v>42109</c:v>
                </c:pt>
                <c:pt idx="351">
                  <c:v>42110</c:v>
                </c:pt>
                <c:pt idx="352">
                  <c:v>42111</c:v>
                </c:pt>
                <c:pt idx="353">
                  <c:v>42112</c:v>
                </c:pt>
                <c:pt idx="354">
                  <c:v>42113</c:v>
                </c:pt>
                <c:pt idx="355">
                  <c:v>42114</c:v>
                </c:pt>
                <c:pt idx="356">
                  <c:v>42115</c:v>
                </c:pt>
                <c:pt idx="357">
                  <c:v>42116</c:v>
                </c:pt>
                <c:pt idx="358">
                  <c:v>42117</c:v>
                </c:pt>
                <c:pt idx="359">
                  <c:v>42118</c:v>
                </c:pt>
                <c:pt idx="360">
                  <c:v>42119</c:v>
                </c:pt>
                <c:pt idx="361">
                  <c:v>42120</c:v>
                </c:pt>
                <c:pt idx="362">
                  <c:v>42121</c:v>
                </c:pt>
                <c:pt idx="363">
                  <c:v>42122</c:v>
                </c:pt>
                <c:pt idx="364">
                  <c:v>42123</c:v>
                </c:pt>
                <c:pt idx="365">
                  <c:v>42124</c:v>
                </c:pt>
                <c:pt idx="366">
                  <c:v>42125</c:v>
                </c:pt>
                <c:pt idx="367">
                  <c:v>42126</c:v>
                </c:pt>
                <c:pt idx="368">
                  <c:v>42127</c:v>
                </c:pt>
                <c:pt idx="369">
                  <c:v>42128</c:v>
                </c:pt>
                <c:pt idx="370">
                  <c:v>42129</c:v>
                </c:pt>
                <c:pt idx="371">
                  <c:v>42130</c:v>
                </c:pt>
                <c:pt idx="372">
                  <c:v>42131</c:v>
                </c:pt>
                <c:pt idx="373">
                  <c:v>42132</c:v>
                </c:pt>
                <c:pt idx="374">
                  <c:v>42133</c:v>
                </c:pt>
                <c:pt idx="375">
                  <c:v>42134</c:v>
                </c:pt>
                <c:pt idx="376">
                  <c:v>42135</c:v>
                </c:pt>
                <c:pt idx="377">
                  <c:v>42136</c:v>
                </c:pt>
                <c:pt idx="378">
                  <c:v>42137</c:v>
                </c:pt>
                <c:pt idx="379">
                  <c:v>42138</c:v>
                </c:pt>
                <c:pt idx="380">
                  <c:v>42139</c:v>
                </c:pt>
                <c:pt idx="381">
                  <c:v>42140</c:v>
                </c:pt>
                <c:pt idx="382">
                  <c:v>42141</c:v>
                </c:pt>
                <c:pt idx="383">
                  <c:v>42142</c:v>
                </c:pt>
                <c:pt idx="384">
                  <c:v>42143</c:v>
                </c:pt>
                <c:pt idx="385">
                  <c:v>42144</c:v>
                </c:pt>
                <c:pt idx="386">
                  <c:v>42145</c:v>
                </c:pt>
                <c:pt idx="387">
                  <c:v>42146</c:v>
                </c:pt>
                <c:pt idx="388">
                  <c:v>42147</c:v>
                </c:pt>
                <c:pt idx="389">
                  <c:v>42148</c:v>
                </c:pt>
                <c:pt idx="390">
                  <c:v>42149</c:v>
                </c:pt>
                <c:pt idx="391">
                  <c:v>42150</c:v>
                </c:pt>
                <c:pt idx="392">
                  <c:v>42151</c:v>
                </c:pt>
                <c:pt idx="393">
                  <c:v>42152</c:v>
                </c:pt>
                <c:pt idx="394">
                  <c:v>42153</c:v>
                </c:pt>
                <c:pt idx="395">
                  <c:v>42154</c:v>
                </c:pt>
                <c:pt idx="396">
                  <c:v>42155</c:v>
                </c:pt>
                <c:pt idx="397">
                  <c:v>42156</c:v>
                </c:pt>
                <c:pt idx="398">
                  <c:v>42157</c:v>
                </c:pt>
                <c:pt idx="399">
                  <c:v>42158</c:v>
                </c:pt>
                <c:pt idx="400">
                  <c:v>42159</c:v>
                </c:pt>
                <c:pt idx="401">
                  <c:v>42160</c:v>
                </c:pt>
                <c:pt idx="402">
                  <c:v>42161</c:v>
                </c:pt>
                <c:pt idx="403">
                  <c:v>42162</c:v>
                </c:pt>
                <c:pt idx="404">
                  <c:v>42163</c:v>
                </c:pt>
                <c:pt idx="405">
                  <c:v>42164</c:v>
                </c:pt>
                <c:pt idx="406">
                  <c:v>42165</c:v>
                </c:pt>
                <c:pt idx="407">
                  <c:v>42166</c:v>
                </c:pt>
                <c:pt idx="408">
                  <c:v>42167</c:v>
                </c:pt>
                <c:pt idx="409">
                  <c:v>42168</c:v>
                </c:pt>
                <c:pt idx="410">
                  <c:v>42169</c:v>
                </c:pt>
                <c:pt idx="411">
                  <c:v>42170</c:v>
                </c:pt>
                <c:pt idx="412">
                  <c:v>42171</c:v>
                </c:pt>
                <c:pt idx="413">
                  <c:v>42172</c:v>
                </c:pt>
                <c:pt idx="414">
                  <c:v>42173</c:v>
                </c:pt>
                <c:pt idx="415">
                  <c:v>42174</c:v>
                </c:pt>
                <c:pt idx="416">
                  <c:v>42175</c:v>
                </c:pt>
                <c:pt idx="417">
                  <c:v>42176</c:v>
                </c:pt>
                <c:pt idx="418">
                  <c:v>42177</c:v>
                </c:pt>
                <c:pt idx="419">
                  <c:v>42178</c:v>
                </c:pt>
                <c:pt idx="420">
                  <c:v>42179</c:v>
                </c:pt>
                <c:pt idx="421">
                  <c:v>42180</c:v>
                </c:pt>
                <c:pt idx="422">
                  <c:v>42181</c:v>
                </c:pt>
                <c:pt idx="423">
                  <c:v>42182</c:v>
                </c:pt>
                <c:pt idx="424">
                  <c:v>42183</c:v>
                </c:pt>
                <c:pt idx="425">
                  <c:v>42184</c:v>
                </c:pt>
                <c:pt idx="426">
                  <c:v>42185</c:v>
                </c:pt>
                <c:pt idx="427">
                  <c:v>42186</c:v>
                </c:pt>
                <c:pt idx="428">
                  <c:v>42187</c:v>
                </c:pt>
                <c:pt idx="429">
                  <c:v>42188</c:v>
                </c:pt>
                <c:pt idx="430">
                  <c:v>42189</c:v>
                </c:pt>
                <c:pt idx="431">
                  <c:v>42190</c:v>
                </c:pt>
                <c:pt idx="432">
                  <c:v>42191</c:v>
                </c:pt>
                <c:pt idx="433">
                  <c:v>42192</c:v>
                </c:pt>
                <c:pt idx="434">
                  <c:v>42193</c:v>
                </c:pt>
                <c:pt idx="435">
                  <c:v>42194</c:v>
                </c:pt>
                <c:pt idx="436">
                  <c:v>42195</c:v>
                </c:pt>
                <c:pt idx="437">
                  <c:v>42196</c:v>
                </c:pt>
                <c:pt idx="438">
                  <c:v>42197</c:v>
                </c:pt>
                <c:pt idx="439">
                  <c:v>42198</c:v>
                </c:pt>
                <c:pt idx="440">
                  <c:v>42199</c:v>
                </c:pt>
                <c:pt idx="441">
                  <c:v>42200</c:v>
                </c:pt>
                <c:pt idx="442">
                  <c:v>42201</c:v>
                </c:pt>
                <c:pt idx="443">
                  <c:v>42202</c:v>
                </c:pt>
                <c:pt idx="444">
                  <c:v>42203</c:v>
                </c:pt>
                <c:pt idx="445">
                  <c:v>42204</c:v>
                </c:pt>
                <c:pt idx="446">
                  <c:v>42205</c:v>
                </c:pt>
                <c:pt idx="447">
                  <c:v>42206</c:v>
                </c:pt>
                <c:pt idx="448">
                  <c:v>42207</c:v>
                </c:pt>
                <c:pt idx="449">
                  <c:v>42208</c:v>
                </c:pt>
                <c:pt idx="450">
                  <c:v>42209</c:v>
                </c:pt>
                <c:pt idx="451">
                  <c:v>42210</c:v>
                </c:pt>
                <c:pt idx="452">
                  <c:v>42211</c:v>
                </c:pt>
                <c:pt idx="453">
                  <c:v>42212</c:v>
                </c:pt>
                <c:pt idx="454">
                  <c:v>42213</c:v>
                </c:pt>
                <c:pt idx="455">
                  <c:v>42214</c:v>
                </c:pt>
                <c:pt idx="456">
                  <c:v>42215</c:v>
                </c:pt>
                <c:pt idx="457">
                  <c:v>42216</c:v>
                </c:pt>
                <c:pt idx="458">
                  <c:v>42217</c:v>
                </c:pt>
                <c:pt idx="459">
                  <c:v>42218</c:v>
                </c:pt>
                <c:pt idx="460">
                  <c:v>42219</c:v>
                </c:pt>
                <c:pt idx="461">
                  <c:v>42220</c:v>
                </c:pt>
                <c:pt idx="462">
                  <c:v>42221</c:v>
                </c:pt>
                <c:pt idx="463">
                  <c:v>42222</c:v>
                </c:pt>
                <c:pt idx="464">
                  <c:v>42223</c:v>
                </c:pt>
                <c:pt idx="465">
                  <c:v>42224</c:v>
                </c:pt>
                <c:pt idx="466">
                  <c:v>42225</c:v>
                </c:pt>
                <c:pt idx="467">
                  <c:v>42226</c:v>
                </c:pt>
                <c:pt idx="468">
                  <c:v>42227</c:v>
                </c:pt>
                <c:pt idx="469">
                  <c:v>42228</c:v>
                </c:pt>
                <c:pt idx="470">
                  <c:v>42229</c:v>
                </c:pt>
                <c:pt idx="471">
                  <c:v>42230</c:v>
                </c:pt>
                <c:pt idx="472">
                  <c:v>42231</c:v>
                </c:pt>
                <c:pt idx="473">
                  <c:v>42232</c:v>
                </c:pt>
                <c:pt idx="474">
                  <c:v>42233</c:v>
                </c:pt>
                <c:pt idx="475">
                  <c:v>42234</c:v>
                </c:pt>
                <c:pt idx="476">
                  <c:v>42235</c:v>
                </c:pt>
                <c:pt idx="477">
                  <c:v>42236</c:v>
                </c:pt>
                <c:pt idx="478">
                  <c:v>42237</c:v>
                </c:pt>
                <c:pt idx="479">
                  <c:v>42238</c:v>
                </c:pt>
                <c:pt idx="480">
                  <c:v>42239</c:v>
                </c:pt>
                <c:pt idx="481">
                  <c:v>42240</c:v>
                </c:pt>
                <c:pt idx="482">
                  <c:v>42241</c:v>
                </c:pt>
                <c:pt idx="483">
                  <c:v>42242</c:v>
                </c:pt>
                <c:pt idx="484">
                  <c:v>42243</c:v>
                </c:pt>
                <c:pt idx="485">
                  <c:v>42244</c:v>
                </c:pt>
                <c:pt idx="486">
                  <c:v>42245</c:v>
                </c:pt>
                <c:pt idx="487">
                  <c:v>42246</c:v>
                </c:pt>
                <c:pt idx="488">
                  <c:v>42247</c:v>
                </c:pt>
                <c:pt idx="489">
                  <c:v>42248</c:v>
                </c:pt>
                <c:pt idx="490">
                  <c:v>42249</c:v>
                </c:pt>
                <c:pt idx="491">
                  <c:v>42250</c:v>
                </c:pt>
                <c:pt idx="492">
                  <c:v>42251</c:v>
                </c:pt>
                <c:pt idx="493">
                  <c:v>42252</c:v>
                </c:pt>
                <c:pt idx="494">
                  <c:v>42253</c:v>
                </c:pt>
                <c:pt idx="495">
                  <c:v>42254</c:v>
                </c:pt>
                <c:pt idx="496">
                  <c:v>42255</c:v>
                </c:pt>
                <c:pt idx="497">
                  <c:v>42256</c:v>
                </c:pt>
                <c:pt idx="498">
                  <c:v>42257</c:v>
                </c:pt>
                <c:pt idx="499">
                  <c:v>42258</c:v>
                </c:pt>
                <c:pt idx="500">
                  <c:v>42259</c:v>
                </c:pt>
                <c:pt idx="501">
                  <c:v>42260</c:v>
                </c:pt>
                <c:pt idx="502">
                  <c:v>42261</c:v>
                </c:pt>
                <c:pt idx="503">
                  <c:v>42262</c:v>
                </c:pt>
                <c:pt idx="504">
                  <c:v>42263</c:v>
                </c:pt>
                <c:pt idx="505">
                  <c:v>42264</c:v>
                </c:pt>
                <c:pt idx="506">
                  <c:v>42265</c:v>
                </c:pt>
                <c:pt idx="507">
                  <c:v>42266</c:v>
                </c:pt>
                <c:pt idx="508">
                  <c:v>42267</c:v>
                </c:pt>
                <c:pt idx="509">
                  <c:v>42268</c:v>
                </c:pt>
                <c:pt idx="510">
                  <c:v>42269</c:v>
                </c:pt>
                <c:pt idx="511">
                  <c:v>42270</c:v>
                </c:pt>
                <c:pt idx="512">
                  <c:v>42271</c:v>
                </c:pt>
                <c:pt idx="513">
                  <c:v>42272</c:v>
                </c:pt>
                <c:pt idx="514">
                  <c:v>42273</c:v>
                </c:pt>
                <c:pt idx="515">
                  <c:v>42274</c:v>
                </c:pt>
                <c:pt idx="516">
                  <c:v>42275</c:v>
                </c:pt>
                <c:pt idx="517">
                  <c:v>42276</c:v>
                </c:pt>
                <c:pt idx="518">
                  <c:v>42277</c:v>
                </c:pt>
                <c:pt idx="519">
                  <c:v>42278</c:v>
                </c:pt>
                <c:pt idx="520">
                  <c:v>42279</c:v>
                </c:pt>
                <c:pt idx="521">
                  <c:v>42280</c:v>
                </c:pt>
                <c:pt idx="522">
                  <c:v>42281</c:v>
                </c:pt>
                <c:pt idx="523">
                  <c:v>42282</c:v>
                </c:pt>
                <c:pt idx="524">
                  <c:v>42283</c:v>
                </c:pt>
                <c:pt idx="525">
                  <c:v>42284</c:v>
                </c:pt>
                <c:pt idx="526">
                  <c:v>42285</c:v>
                </c:pt>
                <c:pt idx="527">
                  <c:v>42286</c:v>
                </c:pt>
                <c:pt idx="528">
                  <c:v>42287</c:v>
                </c:pt>
                <c:pt idx="529">
                  <c:v>42288</c:v>
                </c:pt>
                <c:pt idx="530">
                  <c:v>42289</c:v>
                </c:pt>
                <c:pt idx="531">
                  <c:v>42290</c:v>
                </c:pt>
                <c:pt idx="532">
                  <c:v>42291</c:v>
                </c:pt>
                <c:pt idx="533">
                  <c:v>42292</c:v>
                </c:pt>
                <c:pt idx="534">
                  <c:v>42293</c:v>
                </c:pt>
                <c:pt idx="535">
                  <c:v>42294</c:v>
                </c:pt>
                <c:pt idx="536">
                  <c:v>42295</c:v>
                </c:pt>
                <c:pt idx="537">
                  <c:v>42296</c:v>
                </c:pt>
                <c:pt idx="538">
                  <c:v>42297</c:v>
                </c:pt>
                <c:pt idx="539">
                  <c:v>42298</c:v>
                </c:pt>
                <c:pt idx="540">
                  <c:v>42299</c:v>
                </c:pt>
                <c:pt idx="541">
                  <c:v>42300</c:v>
                </c:pt>
                <c:pt idx="542">
                  <c:v>42301</c:v>
                </c:pt>
                <c:pt idx="543">
                  <c:v>42302</c:v>
                </c:pt>
                <c:pt idx="544">
                  <c:v>42303</c:v>
                </c:pt>
                <c:pt idx="545">
                  <c:v>42304</c:v>
                </c:pt>
                <c:pt idx="546">
                  <c:v>42305</c:v>
                </c:pt>
                <c:pt idx="547">
                  <c:v>42306</c:v>
                </c:pt>
                <c:pt idx="548">
                  <c:v>42307</c:v>
                </c:pt>
                <c:pt idx="549">
                  <c:v>42308</c:v>
                </c:pt>
                <c:pt idx="550">
                  <c:v>42309</c:v>
                </c:pt>
                <c:pt idx="551">
                  <c:v>42310</c:v>
                </c:pt>
                <c:pt idx="552">
                  <c:v>42311</c:v>
                </c:pt>
                <c:pt idx="553">
                  <c:v>42312</c:v>
                </c:pt>
                <c:pt idx="554">
                  <c:v>42313</c:v>
                </c:pt>
                <c:pt idx="555">
                  <c:v>42314</c:v>
                </c:pt>
                <c:pt idx="556">
                  <c:v>42315</c:v>
                </c:pt>
                <c:pt idx="557">
                  <c:v>42316</c:v>
                </c:pt>
                <c:pt idx="558">
                  <c:v>42317</c:v>
                </c:pt>
                <c:pt idx="559">
                  <c:v>42318</c:v>
                </c:pt>
                <c:pt idx="560">
                  <c:v>42319</c:v>
                </c:pt>
                <c:pt idx="561">
                  <c:v>42320</c:v>
                </c:pt>
                <c:pt idx="562">
                  <c:v>42321</c:v>
                </c:pt>
                <c:pt idx="563">
                  <c:v>42322</c:v>
                </c:pt>
                <c:pt idx="564">
                  <c:v>42323</c:v>
                </c:pt>
                <c:pt idx="565">
                  <c:v>42324</c:v>
                </c:pt>
                <c:pt idx="566">
                  <c:v>42325</c:v>
                </c:pt>
                <c:pt idx="567">
                  <c:v>42326</c:v>
                </c:pt>
                <c:pt idx="568">
                  <c:v>42327</c:v>
                </c:pt>
                <c:pt idx="569">
                  <c:v>42328</c:v>
                </c:pt>
                <c:pt idx="570">
                  <c:v>42329</c:v>
                </c:pt>
                <c:pt idx="571">
                  <c:v>42330</c:v>
                </c:pt>
                <c:pt idx="572">
                  <c:v>42331</c:v>
                </c:pt>
                <c:pt idx="573">
                  <c:v>42332</c:v>
                </c:pt>
                <c:pt idx="574">
                  <c:v>42333</c:v>
                </c:pt>
                <c:pt idx="575">
                  <c:v>42334</c:v>
                </c:pt>
                <c:pt idx="576">
                  <c:v>42335</c:v>
                </c:pt>
                <c:pt idx="577">
                  <c:v>42336</c:v>
                </c:pt>
                <c:pt idx="578">
                  <c:v>42337</c:v>
                </c:pt>
                <c:pt idx="579">
                  <c:v>42338</c:v>
                </c:pt>
                <c:pt idx="580">
                  <c:v>42339</c:v>
                </c:pt>
                <c:pt idx="581">
                  <c:v>42340</c:v>
                </c:pt>
                <c:pt idx="582">
                  <c:v>42341</c:v>
                </c:pt>
                <c:pt idx="583">
                  <c:v>42342</c:v>
                </c:pt>
                <c:pt idx="584">
                  <c:v>42343</c:v>
                </c:pt>
                <c:pt idx="585">
                  <c:v>42344</c:v>
                </c:pt>
                <c:pt idx="586">
                  <c:v>42345</c:v>
                </c:pt>
                <c:pt idx="587">
                  <c:v>42346</c:v>
                </c:pt>
                <c:pt idx="588">
                  <c:v>42347</c:v>
                </c:pt>
                <c:pt idx="589">
                  <c:v>42348</c:v>
                </c:pt>
                <c:pt idx="590">
                  <c:v>42349</c:v>
                </c:pt>
                <c:pt idx="591">
                  <c:v>42350</c:v>
                </c:pt>
                <c:pt idx="592">
                  <c:v>42351</c:v>
                </c:pt>
                <c:pt idx="593">
                  <c:v>42352</c:v>
                </c:pt>
                <c:pt idx="594">
                  <c:v>42353</c:v>
                </c:pt>
                <c:pt idx="595">
                  <c:v>42354</c:v>
                </c:pt>
                <c:pt idx="596">
                  <c:v>42355</c:v>
                </c:pt>
                <c:pt idx="597">
                  <c:v>42356</c:v>
                </c:pt>
                <c:pt idx="598">
                  <c:v>42357</c:v>
                </c:pt>
                <c:pt idx="599">
                  <c:v>42358</c:v>
                </c:pt>
                <c:pt idx="600">
                  <c:v>42359</c:v>
                </c:pt>
                <c:pt idx="601">
                  <c:v>42360</c:v>
                </c:pt>
                <c:pt idx="602">
                  <c:v>42361</c:v>
                </c:pt>
                <c:pt idx="603">
                  <c:v>42362</c:v>
                </c:pt>
                <c:pt idx="604">
                  <c:v>42363</c:v>
                </c:pt>
                <c:pt idx="605">
                  <c:v>42364</c:v>
                </c:pt>
                <c:pt idx="606">
                  <c:v>42365</c:v>
                </c:pt>
                <c:pt idx="607">
                  <c:v>42366</c:v>
                </c:pt>
                <c:pt idx="608">
                  <c:v>42367</c:v>
                </c:pt>
                <c:pt idx="609">
                  <c:v>42368</c:v>
                </c:pt>
                <c:pt idx="610">
                  <c:v>42369</c:v>
                </c:pt>
                <c:pt idx="611">
                  <c:v>42370</c:v>
                </c:pt>
                <c:pt idx="612">
                  <c:v>42371</c:v>
                </c:pt>
                <c:pt idx="613">
                  <c:v>42372</c:v>
                </c:pt>
                <c:pt idx="614">
                  <c:v>42373</c:v>
                </c:pt>
                <c:pt idx="615">
                  <c:v>42374</c:v>
                </c:pt>
                <c:pt idx="616">
                  <c:v>42375</c:v>
                </c:pt>
                <c:pt idx="617">
                  <c:v>42376</c:v>
                </c:pt>
                <c:pt idx="618">
                  <c:v>42377</c:v>
                </c:pt>
                <c:pt idx="619">
                  <c:v>42378</c:v>
                </c:pt>
                <c:pt idx="620">
                  <c:v>42379</c:v>
                </c:pt>
                <c:pt idx="621">
                  <c:v>42380</c:v>
                </c:pt>
                <c:pt idx="622">
                  <c:v>42381</c:v>
                </c:pt>
                <c:pt idx="623">
                  <c:v>42382</c:v>
                </c:pt>
                <c:pt idx="624">
                  <c:v>42383</c:v>
                </c:pt>
                <c:pt idx="625">
                  <c:v>42384</c:v>
                </c:pt>
                <c:pt idx="626">
                  <c:v>42385</c:v>
                </c:pt>
                <c:pt idx="627">
                  <c:v>42386</c:v>
                </c:pt>
                <c:pt idx="628">
                  <c:v>42387</c:v>
                </c:pt>
                <c:pt idx="629">
                  <c:v>42388</c:v>
                </c:pt>
                <c:pt idx="630">
                  <c:v>42389</c:v>
                </c:pt>
                <c:pt idx="631">
                  <c:v>42390</c:v>
                </c:pt>
                <c:pt idx="632">
                  <c:v>42391</c:v>
                </c:pt>
                <c:pt idx="633">
                  <c:v>42392</c:v>
                </c:pt>
                <c:pt idx="634">
                  <c:v>42393</c:v>
                </c:pt>
                <c:pt idx="635">
                  <c:v>42394</c:v>
                </c:pt>
                <c:pt idx="636">
                  <c:v>42395</c:v>
                </c:pt>
                <c:pt idx="637">
                  <c:v>42396</c:v>
                </c:pt>
                <c:pt idx="638">
                  <c:v>42397</c:v>
                </c:pt>
                <c:pt idx="639">
                  <c:v>42398</c:v>
                </c:pt>
                <c:pt idx="640">
                  <c:v>42399</c:v>
                </c:pt>
                <c:pt idx="641">
                  <c:v>42400</c:v>
                </c:pt>
                <c:pt idx="642">
                  <c:v>42401</c:v>
                </c:pt>
                <c:pt idx="643">
                  <c:v>42402</c:v>
                </c:pt>
                <c:pt idx="644">
                  <c:v>42403</c:v>
                </c:pt>
                <c:pt idx="645">
                  <c:v>42404</c:v>
                </c:pt>
                <c:pt idx="646">
                  <c:v>42405</c:v>
                </c:pt>
                <c:pt idx="647">
                  <c:v>42406</c:v>
                </c:pt>
                <c:pt idx="648">
                  <c:v>42407</c:v>
                </c:pt>
                <c:pt idx="649">
                  <c:v>42408</c:v>
                </c:pt>
                <c:pt idx="650">
                  <c:v>42409</c:v>
                </c:pt>
                <c:pt idx="651">
                  <c:v>42410</c:v>
                </c:pt>
                <c:pt idx="652">
                  <c:v>42411</c:v>
                </c:pt>
                <c:pt idx="653">
                  <c:v>42412</c:v>
                </c:pt>
                <c:pt idx="654">
                  <c:v>42413</c:v>
                </c:pt>
                <c:pt idx="655">
                  <c:v>42414</c:v>
                </c:pt>
                <c:pt idx="656">
                  <c:v>42415</c:v>
                </c:pt>
                <c:pt idx="657">
                  <c:v>42416</c:v>
                </c:pt>
                <c:pt idx="658">
                  <c:v>42417</c:v>
                </c:pt>
                <c:pt idx="659">
                  <c:v>42418</c:v>
                </c:pt>
                <c:pt idx="660">
                  <c:v>42419</c:v>
                </c:pt>
                <c:pt idx="661">
                  <c:v>42420</c:v>
                </c:pt>
                <c:pt idx="662">
                  <c:v>42421</c:v>
                </c:pt>
                <c:pt idx="663">
                  <c:v>42422</c:v>
                </c:pt>
                <c:pt idx="664">
                  <c:v>42423</c:v>
                </c:pt>
                <c:pt idx="665">
                  <c:v>42424</c:v>
                </c:pt>
                <c:pt idx="666">
                  <c:v>42425</c:v>
                </c:pt>
                <c:pt idx="667">
                  <c:v>42426</c:v>
                </c:pt>
                <c:pt idx="668">
                  <c:v>42427</c:v>
                </c:pt>
                <c:pt idx="669">
                  <c:v>42428</c:v>
                </c:pt>
                <c:pt idx="670">
                  <c:v>42429</c:v>
                </c:pt>
                <c:pt idx="671">
                  <c:v>42430</c:v>
                </c:pt>
                <c:pt idx="672">
                  <c:v>42431</c:v>
                </c:pt>
                <c:pt idx="673">
                  <c:v>42432</c:v>
                </c:pt>
                <c:pt idx="674">
                  <c:v>42433</c:v>
                </c:pt>
                <c:pt idx="675">
                  <c:v>42434</c:v>
                </c:pt>
                <c:pt idx="676">
                  <c:v>42435</c:v>
                </c:pt>
                <c:pt idx="677">
                  <c:v>42436</c:v>
                </c:pt>
                <c:pt idx="678">
                  <c:v>42437</c:v>
                </c:pt>
                <c:pt idx="679">
                  <c:v>42438</c:v>
                </c:pt>
                <c:pt idx="680">
                  <c:v>42439</c:v>
                </c:pt>
                <c:pt idx="681">
                  <c:v>42440</c:v>
                </c:pt>
                <c:pt idx="682">
                  <c:v>42441</c:v>
                </c:pt>
                <c:pt idx="683">
                  <c:v>42442</c:v>
                </c:pt>
                <c:pt idx="684">
                  <c:v>42443</c:v>
                </c:pt>
                <c:pt idx="685">
                  <c:v>42444</c:v>
                </c:pt>
                <c:pt idx="686">
                  <c:v>42445</c:v>
                </c:pt>
                <c:pt idx="687">
                  <c:v>42446</c:v>
                </c:pt>
                <c:pt idx="688">
                  <c:v>42447</c:v>
                </c:pt>
                <c:pt idx="689">
                  <c:v>42448</c:v>
                </c:pt>
                <c:pt idx="690">
                  <c:v>42449</c:v>
                </c:pt>
                <c:pt idx="691">
                  <c:v>42450</c:v>
                </c:pt>
                <c:pt idx="692">
                  <c:v>42451</c:v>
                </c:pt>
                <c:pt idx="693">
                  <c:v>42452</c:v>
                </c:pt>
                <c:pt idx="694">
                  <c:v>42453</c:v>
                </c:pt>
                <c:pt idx="695">
                  <c:v>42454</c:v>
                </c:pt>
                <c:pt idx="696">
                  <c:v>42455</c:v>
                </c:pt>
                <c:pt idx="697">
                  <c:v>42456</c:v>
                </c:pt>
                <c:pt idx="698">
                  <c:v>42457</c:v>
                </c:pt>
                <c:pt idx="699">
                  <c:v>42458</c:v>
                </c:pt>
                <c:pt idx="700">
                  <c:v>42459</c:v>
                </c:pt>
                <c:pt idx="701">
                  <c:v>42460</c:v>
                </c:pt>
                <c:pt idx="702">
                  <c:v>42461</c:v>
                </c:pt>
                <c:pt idx="703">
                  <c:v>42462</c:v>
                </c:pt>
                <c:pt idx="704">
                  <c:v>42463</c:v>
                </c:pt>
                <c:pt idx="705">
                  <c:v>42464</c:v>
                </c:pt>
                <c:pt idx="706">
                  <c:v>42465</c:v>
                </c:pt>
                <c:pt idx="707">
                  <c:v>42466</c:v>
                </c:pt>
                <c:pt idx="708">
                  <c:v>42467</c:v>
                </c:pt>
                <c:pt idx="709">
                  <c:v>42468</c:v>
                </c:pt>
                <c:pt idx="710">
                  <c:v>42469</c:v>
                </c:pt>
                <c:pt idx="711">
                  <c:v>42470</c:v>
                </c:pt>
                <c:pt idx="712">
                  <c:v>42471</c:v>
                </c:pt>
                <c:pt idx="713">
                  <c:v>42472</c:v>
                </c:pt>
                <c:pt idx="714">
                  <c:v>42473</c:v>
                </c:pt>
                <c:pt idx="715">
                  <c:v>42474</c:v>
                </c:pt>
                <c:pt idx="716">
                  <c:v>42475</c:v>
                </c:pt>
                <c:pt idx="717">
                  <c:v>42476</c:v>
                </c:pt>
                <c:pt idx="718">
                  <c:v>42477</c:v>
                </c:pt>
                <c:pt idx="719">
                  <c:v>42478</c:v>
                </c:pt>
                <c:pt idx="720">
                  <c:v>42479</c:v>
                </c:pt>
                <c:pt idx="721">
                  <c:v>42480</c:v>
                </c:pt>
                <c:pt idx="722">
                  <c:v>42481</c:v>
                </c:pt>
                <c:pt idx="723">
                  <c:v>42482</c:v>
                </c:pt>
                <c:pt idx="724">
                  <c:v>42483</c:v>
                </c:pt>
                <c:pt idx="725">
                  <c:v>42484</c:v>
                </c:pt>
                <c:pt idx="726">
                  <c:v>42485</c:v>
                </c:pt>
                <c:pt idx="727">
                  <c:v>42486</c:v>
                </c:pt>
                <c:pt idx="728">
                  <c:v>42487</c:v>
                </c:pt>
                <c:pt idx="729">
                  <c:v>42488</c:v>
                </c:pt>
                <c:pt idx="730">
                  <c:v>42489</c:v>
                </c:pt>
                <c:pt idx="731">
                  <c:v>42490</c:v>
                </c:pt>
                <c:pt idx="732">
                  <c:v>42491</c:v>
                </c:pt>
                <c:pt idx="733">
                  <c:v>42492</c:v>
                </c:pt>
                <c:pt idx="734">
                  <c:v>42493</c:v>
                </c:pt>
                <c:pt idx="735">
                  <c:v>42494</c:v>
                </c:pt>
                <c:pt idx="736">
                  <c:v>42495</c:v>
                </c:pt>
                <c:pt idx="737">
                  <c:v>42496</c:v>
                </c:pt>
                <c:pt idx="738">
                  <c:v>42497</c:v>
                </c:pt>
                <c:pt idx="739">
                  <c:v>42498</c:v>
                </c:pt>
                <c:pt idx="740">
                  <c:v>42499</c:v>
                </c:pt>
                <c:pt idx="741">
                  <c:v>42500</c:v>
                </c:pt>
                <c:pt idx="742">
                  <c:v>42501</c:v>
                </c:pt>
                <c:pt idx="743">
                  <c:v>42502</c:v>
                </c:pt>
                <c:pt idx="744">
                  <c:v>42503</c:v>
                </c:pt>
                <c:pt idx="745">
                  <c:v>42504</c:v>
                </c:pt>
                <c:pt idx="746">
                  <c:v>42505</c:v>
                </c:pt>
                <c:pt idx="747">
                  <c:v>42506</c:v>
                </c:pt>
                <c:pt idx="748">
                  <c:v>42507</c:v>
                </c:pt>
                <c:pt idx="749">
                  <c:v>42508</c:v>
                </c:pt>
                <c:pt idx="750">
                  <c:v>42509</c:v>
                </c:pt>
                <c:pt idx="751">
                  <c:v>42510</c:v>
                </c:pt>
                <c:pt idx="752">
                  <c:v>42511</c:v>
                </c:pt>
                <c:pt idx="753">
                  <c:v>42512</c:v>
                </c:pt>
                <c:pt idx="754">
                  <c:v>42513</c:v>
                </c:pt>
                <c:pt idx="755">
                  <c:v>42514</c:v>
                </c:pt>
                <c:pt idx="756">
                  <c:v>42515</c:v>
                </c:pt>
                <c:pt idx="757">
                  <c:v>42516</c:v>
                </c:pt>
                <c:pt idx="758">
                  <c:v>42517</c:v>
                </c:pt>
                <c:pt idx="759">
                  <c:v>42518</c:v>
                </c:pt>
                <c:pt idx="760">
                  <c:v>42519</c:v>
                </c:pt>
                <c:pt idx="761">
                  <c:v>42520</c:v>
                </c:pt>
                <c:pt idx="762">
                  <c:v>42521</c:v>
                </c:pt>
                <c:pt idx="763">
                  <c:v>42522</c:v>
                </c:pt>
                <c:pt idx="764">
                  <c:v>42523</c:v>
                </c:pt>
                <c:pt idx="765">
                  <c:v>42524</c:v>
                </c:pt>
                <c:pt idx="766">
                  <c:v>42525</c:v>
                </c:pt>
                <c:pt idx="767">
                  <c:v>42526</c:v>
                </c:pt>
                <c:pt idx="768">
                  <c:v>42527</c:v>
                </c:pt>
                <c:pt idx="769">
                  <c:v>42528</c:v>
                </c:pt>
                <c:pt idx="770">
                  <c:v>42529</c:v>
                </c:pt>
                <c:pt idx="771">
                  <c:v>42530</c:v>
                </c:pt>
                <c:pt idx="772">
                  <c:v>42531</c:v>
                </c:pt>
                <c:pt idx="773">
                  <c:v>42532</c:v>
                </c:pt>
                <c:pt idx="774">
                  <c:v>42533</c:v>
                </c:pt>
                <c:pt idx="775">
                  <c:v>42534</c:v>
                </c:pt>
                <c:pt idx="776">
                  <c:v>42535</c:v>
                </c:pt>
                <c:pt idx="777">
                  <c:v>42536</c:v>
                </c:pt>
                <c:pt idx="778">
                  <c:v>42537</c:v>
                </c:pt>
                <c:pt idx="779">
                  <c:v>42538</c:v>
                </c:pt>
                <c:pt idx="780">
                  <c:v>42539</c:v>
                </c:pt>
                <c:pt idx="781">
                  <c:v>42540</c:v>
                </c:pt>
                <c:pt idx="782">
                  <c:v>42541</c:v>
                </c:pt>
                <c:pt idx="783">
                  <c:v>42542</c:v>
                </c:pt>
                <c:pt idx="784">
                  <c:v>42543</c:v>
                </c:pt>
                <c:pt idx="785">
                  <c:v>42544</c:v>
                </c:pt>
                <c:pt idx="786">
                  <c:v>42545</c:v>
                </c:pt>
                <c:pt idx="787">
                  <c:v>42546</c:v>
                </c:pt>
                <c:pt idx="788">
                  <c:v>42547</c:v>
                </c:pt>
                <c:pt idx="789">
                  <c:v>42548</c:v>
                </c:pt>
                <c:pt idx="790">
                  <c:v>42549</c:v>
                </c:pt>
                <c:pt idx="791">
                  <c:v>42550</c:v>
                </c:pt>
                <c:pt idx="792">
                  <c:v>42551</c:v>
                </c:pt>
                <c:pt idx="793">
                  <c:v>42552</c:v>
                </c:pt>
                <c:pt idx="794">
                  <c:v>42553</c:v>
                </c:pt>
                <c:pt idx="795">
                  <c:v>42554</c:v>
                </c:pt>
                <c:pt idx="796">
                  <c:v>42555</c:v>
                </c:pt>
                <c:pt idx="797">
                  <c:v>42556</c:v>
                </c:pt>
                <c:pt idx="798">
                  <c:v>42557</c:v>
                </c:pt>
                <c:pt idx="799">
                  <c:v>42558</c:v>
                </c:pt>
                <c:pt idx="800">
                  <c:v>42559</c:v>
                </c:pt>
                <c:pt idx="801">
                  <c:v>42560</c:v>
                </c:pt>
                <c:pt idx="802">
                  <c:v>42561</c:v>
                </c:pt>
                <c:pt idx="803">
                  <c:v>42562</c:v>
                </c:pt>
                <c:pt idx="804">
                  <c:v>42563</c:v>
                </c:pt>
                <c:pt idx="805">
                  <c:v>42564</c:v>
                </c:pt>
                <c:pt idx="806">
                  <c:v>42565</c:v>
                </c:pt>
                <c:pt idx="807">
                  <c:v>42566</c:v>
                </c:pt>
                <c:pt idx="808">
                  <c:v>42567</c:v>
                </c:pt>
                <c:pt idx="809">
                  <c:v>42568</c:v>
                </c:pt>
                <c:pt idx="810">
                  <c:v>42569</c:v>
                </c:pt>
                <c:pt idx="811">
                  <c:v>42570</c:v>
                </c:pt>
                <c:pt idx="812">
                  <c:v>42571</c:v>
                </c:pt>
                <c:pt idx="813">
                  <c:v>42572</c:v>
                </c:pt>
                <c:pt idx="814">
                  <c:v>42573</c:v>
                </c:pt>
                <c:pt idx="815">
                  <c:v>42574</c:v>
                </c:pt>
                <c:pt idx="816">
                  <c:v>42575</c:v>
                </c:pt>
                <c:pt idx="817">
                  <c:v>42576</c:v>
                </c:pt>
                <c:pt idx="818">
                  <c:v>42577</c:v>
                </c:pt>
                <c:pt idx="819">
                  <c:v>42578</c:v>
                </c:pt>
                <c:pt idx="820">
                  <c:v>42579</c:v>
                </c:pt>
                <c:pt idx="821">
                  <c:v>42580</c:v>
                </c:pt>
                <c:pt idx="822">
                  <c:v>42581</c:v>
                </c:pt>
                <c:pt idx="823">
                  <c:v>42582</c:v>
                </c:pt>
                <c:pt idx="824">
                  <c:v>42583</c:v>
                </c:pt>
                <c:pt idx="825">
                  <c:v>42584</c:v>
                </c:pt>
                <c:pt idx="826">
                  <c:v>42585</c:v>
                </c:pt>
                <c:pt idx="827">
                  <c:v>42586</c:v>
                </c:pt>
                <c:pt idx="828">
                  <c:v>42587</c:v>
                </c:pt>
                <c:pt idx="829">
                  <c:v>42588</c:v>
                </c:pt>
                <c:pt idx="830">
                  <c:v>42589</c:v>
                </c:pt>
                <c:pt idx="831">
                  <c:v>42590</c:v>
                </c:pt>
                <c:pt idx="832">
                  <c:v>42591</c:v>
                </c:pt>
                <c:pt idx="833">
                  <c:v>42592</c:v>
                </c:pt>
                <c:pt idx="834">
                  <c:v>42593</c:v>
                </c:pt>
                <c:pt idx="835">
                  <c:v>42594</c:v>
                </c:pt>
                <c:pt idx="836">
                  <c:v>42595</c:v>
                </c:pt>
                <c:pt idx="837">
                  <c:v>42596</c:v>
                </c:pt>
                <c:pt idx="838">
                  <c:v>42597</c:v>
                </c:pt>
                <c:pt idx="839">
                  <c:v>42598</c:v>
                </c:pt>
                <c:pt idx="840">
                  <c:v>42599</c:v>
                </c:pt>
                <c:pt idx="841">
                  <c:v>42600</c:v>
                </c:pt>
                <c:pt idx="842">
                  <c:v>42601</c:v>
                </c:pt>
                <c:pt idx="843">
                  <c:v>42602</c:v>
                </c:pt>
                <c:pt idx="844">
                  <c:v>42603</c:v>
                </c:pt>
                <c:pt idx="845">
                  <c:v>42604</c:v>
                </c:pt>
                <c:pt idx="846">
                  <c:v>42605</c:v>
                </c:pt>
                <c:pt idx="847">
                  <c:v>42606</c:v>
                </c:pt>
                <c:pt idx="848">
                  <c:v>42607</c:v>
                </c:pt>
                <c:pt idx="849">
                  <c:v>42608</c:v>
                </c:pt>
                <c:pt idx="850">
                  <c:v>42609</c:v>
                </c:pt>
                <c:pt idx="851">
                  <c:v>42610</c:v>
                </c:pt>
                <c:pt idx="852">
                  <c:v>42611</c:v>
                </c:pt>
                <c:pt idx="853">
                  <c:v>42612</c:v>
                </c:pt>
                <c:pt idx="854">
                  <c:v>42613</c:v>
                </c:pt>
                <c:pt idx="855">
                  <c:v>42614</c:v>
                </c:pt>
                <c:pt idx="856">
                  <c:v>42615</c:v>
                </c:pt>
                <c:pt idx="857">
                  <c:v>42616</c:v>
                </c:pt>
                <c:pt idx="858">
                  <c:v>42617</c:v>
                </c:pt>
                <c:pt idx="859">
                  <c:v>42618</c:v>
                </c:pt>
                <c:pt idx="860">
                  <c:v>42619</c:v>
                </c:pt>
                <c:pt idx="861">
                  <c:v>42620</c:v>
                </c:pt>
                <c:pt idx="862">
                  <c:v>42621</c:v>
                </c:pt>
                <c:pt idx="863">
                  <c:v>42622</c:v>
                </c:pt>
                <c:pt idx="864">
                  <c:v>42623</c:v>
                </c:pt>
                <c:pt idx="865">
                  <c:v>42624</c:v>
                </c:pt>
                <c:pt idx="866">
                  <c:v>42625</c:v>
                </c:pt>
                <c:pt idx="867">
                  <c:v>42626</c:v>
                </c:pt>
                <c:pt idx="868">
                  <c:v>42627</c:v>
                </c:pt>
                <c:pt idx="869">
                  <c:v>42628</c:v>
                </c:pt>
                <c:pt idx="870">
                  <c:v>42629</c:v>
                </c:pt>
                <c:pt idx="871">
                  <c:v>42630</c:v>
                </c:pt>
                <c:pt idx="872">
                  <c:v>42631</c:v>
                </c:pt>
                <c:pt idx="873">
                  <c:v>42632</c:v>
                </c:pt>
                <c:pt idx="874">
                  <c:v>42633</c:v>
                </c:pt>
                <c:pt idx="875">
                  <c:v>42634</c:v>
                </c:pt>
                <c:pt idx="876">
                  <c:v>42635</c:v>
                </c:pt>
                <c:pt idx="877">
                  <c:v>42636</c:v>
                </c:pt>
                <c:pt idx="878">
                  <c:v>42637</c:v>
                </c:pt>
                <c:pt idx="879">
                  <c:v>42638</c:v>
                </c:pt>
                <c:pt idx="880">
                  <c:v>42639</c:v>
                </c:pt>
                <c:pt idx="881">
                  <c:v>42640</c:v>
                </c:pt>
                <c:pt idx="882">
                  <c:v>42641</c:v>
                </c:pt>
                <c:pt idx="883">
                  <c:v>42642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31.5</c:v>
                </c:pt>
                <c:pt idx="18">
                  <c:v>0</c:v>
                </c:pt>
                <c:pt idx="19">
                  <c:v>0</c:v>
                </c:pt>
                <c:pt idx="20">
                  <c:v>12</c:v>
                </c:pt>
                <c:pt idx="21">
                  <c:v>0</c:v>
                </c:pt>
                <c:pt idx="22">
                  <c:v>23</c:v>
                </c:pt>
                <c:pt idx="23">
                  <c:v>12.5</c:v>
                </c:pt>
                <c:pt idx="24">
                  <c:v>12.6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46</c:v>
                </c:pt>
                <c:pt idx="35">
                  <c:v>21</c:v>
                </c:pt>
                <c:pt idx="36">
                  <c:v>31</c:v>
                </c:pt>
                <c:pt idx="37">
                  <c:v>29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24</c:v>
                </c:pt>
                <c:pt idx="44">
                  <c:v>3</c:v>
                </c:pt>
                <c:pt idx="45">
                  <c:v>7.5</c:v>
                </c:pt>
                <c:pt idx="46">
                  <c:v>0</c:v>
                </c:pt>
                <c:pt idx="47">
                  <c:v>0</c:v>
                </c:pt>
                <c:pt idx="48">
                  <c:v>11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22</c:v>
                </c:pt>
                <c:pt idx="53">
                  <c:v>0</c:v>
                </c:pt>
                <c:pt idx="54">
                  <c:v>0</c:v>
                </c:pt>
                <c:pt idx="55">
                  <c:v>18</c:v>
                </c:pt>
                <c:pt idx="56">
                  <c:v>8</c:v>
                </c:pt>
                <c:pt idx="57">
                  <c:v>7</c:v>
                </c:pt>
                <c:pt idx="58">
                  <c:v>7</c:v>
                </c:pt>
                <c:pt idx="59">
                  <c:v>6.5</c:v>
                </c:pt>
                <c:pt idx="60">
                  <c:v>3</c:v>
                </c:pt>
                <c:pt idx="61">
                  <c:v>55</c:v>
                </c:pt>
                <c:pt idx="62">
                  <c:v>21</c:v>
                </c:pt>
                <c:pt idx="63">
                  <c:v>11</c:v>
                </c:pt>
                <c:pt idx="64">
                  <c:v>8</c:v>
                </c:pt>
                <c:pt idx="65">
                  <c:v>7</c:v>
                </c:pt>
                <c:pt idx="66">
                  <c:v>11</c:v>
                </c:pt>
                <c:pt idx="67">
                  <c:v>0</c:v>
                </c:pt>
                <c:pt idx="68">
                  <c:v>7</c:v>
                </c:pt>
                <c:pt idx="69">
                  <c:v>0</c:v>
                </c:pt>
                <c:pt idx="70">
                  <c:v>0</c:v>
                </c:pt>
                <c:pt idx="71">
                  <c:v>6</c:v>
                </c:pt>
                <c:pt idx="72">
                  <c:v>23</c:v>
                </c:pt>
                <c:pt idx="73">
                  <c:v>4</c:v>
                </c:pt>
                <c:pt idx="74">
                  <c:v>24</c:v>
                </c:pt>
                <c:pt idx="75">
                  <c:v>6</c:v>
                </c:pt>
                <c:pt idx="76">
                  <c:v>0</c:v>
                </c:pt>
                <c:pt idx="77">
                  <c:v>30</c:v>
                </c:pt>
                <c:pt idx="78">
                  <c:v>0</c:v>
                </c:pt>
                <c:pt idx="79">
                  <c:v>6</c:v>
                </c:pt>
                <c:pt idx="80">
                  <c:v>5</c:v>
                </c:pt>
                <c:pt idx="81">
                  <c:v>0</c:v>
                </c:pt>
                <c:pt idx="82">
                  <c:v>15</c:v>
                </c:pt>
                <c:pt idx="83">
                  <c:v>0</c:v>
                </c:pt>
                <c:pt idx="84">
                  <c:v>13</c:v>
                </c:pt>
                <c:pt idx="85">
                  <c:v>12</c:v>
                </c:pt>
                <c:pt idx="86">
                  <c:v>0</c:v>
                </c:pt>
                <c:pt idx="87">
                  <c:v>30</c:v>
                </c:pt>
                <c:pt idx="88">
                  <c:v>12</c:v>
                </c:pt>
                <c:pt idx="89">
                  <c:v>3</c:v>
                </c:pt>
                <c:pt idx="90">
                  <c:v>2</c:v>
                </c:pt>
                <c:pt idx="91">
                  <c:v>0</c:v>
                </c:pt>
                <c:pt idx="92">
                  <c:v>49</c:v>
                </c:pt>
                <c:pt idx="93">
                  <c:v>29</c:v>
                </c:pt>
                <c:pt idx="94">
                  <c:v>6</c:v>
                </c:pt>
                <c:pt idx="95">
                  <c:v>10.5</c:v>
                </c:pt>
                <c:pt idx="96">
                  <c:v>14</c:v>
                </c:pt>
                <c:pt idx="97">
                  <c:v>0</c:v>
                </c:pt>
                <c:pt idx="98">
                  <c:v>3</c:v>
                </c:pt>
                <c:pt idx="99">
                  <c:v>0</c:v>
                </c:pt>
                <c:pt idx="100">
                  <c:v>62</c:v>
                </c:pt>
                <c:pt idx="101">
                  <c:v>39</c:v>
                </c:pt>
                <c:pt idx="102">
                  <c:v>5</c:v>
                </c:pt>
                <c:pt idx="103">
                  <c:v>7</c:v>
                </c:pt>
                <c:pt idx="104">
                  <c:v>5</c:v>
                </c:pt>
                <c:pt idx="105">
                  <c:v>19.5</c:v>
                </c:pt>
                <c:pt idx="106">
                  <c:v>4</c:v>
                </c:pt>
                <c:pt idx="107">
                  <c:v>0</c:v>
                </c:pt>
                <c:pt idx="108">
                  <c:v>26</c:v>
                </c:pt>
                <c:pt idx="109">
                  <c:v>21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59</c:v>
                </c:pt>
                <c:pt idx="114">
                  <c:v>0</c:v>
                </c:pt>
                <c:pt idx="115">
                  <c:v>11</c:v>
                </c:pt>
                <c:pt idx="116">
                  <c:v>45</c:v>
                </c:pt>
                <c:pt idx="117">
                  <c:v>3</c:v>
                </c:pt>
                <c:pt idx="118">
                  <c:v>30</c:v>
                </c:pt>
                <c:pt idx="119">
                  <c:v>4</c:v>
                </c:pt>
                <c:pt idx="120">
                  <c:v>2</c:v>
                </c:pt>
                <c:pt idx="121">
                  <c:v>0</c:v>
                </c:pt>
                <c:pt idx="122">
                  <c:v>4</c:v>
                </c:pt>
                <c:pt idx="123">
                  <c:v>2.5</c:v>
                </c:pt>
                <c:pt idx="124">
                  <c:v>0</c:v>
                </c:pt>
                <c:pt idx="125">
                  <c:v>4</c:v>
                </c:pt>
                <c:pt idx="126">
                  <c:v>19</c:v>
                </c:pt>
                <c:pt idx="127">
                  <c:v>0</c:v>
                </c:pt>
                <c:pt idx="128">
                  <c:v>5</c:v>
                </c:pt>
                <c:pt idx="129">
                  <c:v>0</c:v>
                </c:pt>
                <c:pt idx="130">
                  <c:v>24</c:v>
                </c:pt>
                <c:pt idx="131">
                  <c:v>25</c:v>
                </c:pt>
                <c:pt idx="132">
                  <c:v>18</c:v>
                </c:pt>
                <c:pt idx="133">
                  <c:v>25</c:v>
                </c:pt>
                <c:pt idx="134">
                  <c:v>2</c:v>
                </c:pt>
                <c:pt idx="135">
                  <c:v>10</c:v>
                </c:pt>
                <c:pt idx="136">
                  <c:v>4</c:v>
                </c:pt>
                <c:pt idx="137">
                  <c:v>25</c:v>
                </c:pt>
                <c:pt idx="138">
                  <c:v>0</c:v>
                </c:pt>
                <c:pt idx="139">
                  <c:v>10</c:v>
                </c:pt>
                <c:pt idx="140">
                  <c:v>11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21</c:v>
                </c:pt>
                <c:pt idx="145">
                  <c:v>0</c:v>
                </c:pt>
                <c:pt idx="146">
                  <c:v>0</c:v>
                </c:pt>
                <c:pt idx="147">
                  <c:v>20</c:v>
                </c:pt>
                <c:pt idx="148">
                  <c:v>25</c:v>
                </c:pt>
                <c:pt idx="149">
                  <c:v>18</c:v>
                </c:pt>
                <c:pt idx="150">
                  <c:v>7</c:v>
                </c:pt>
                <c:pt idx="151">
                  <c:v>0</c:v>
                </c:pt>
                <c:pt idx="152">
                  <c:v>10</c:v>
                </c:pt>
                <c:pt idx="153">
                  <c:v>15</c:v>
                </c:pt>
                <c:pt idx="154">
                  <c:v>4</c:v>
                </c:pt>
                <c:pt idx="155">
                  <c:v>0</c:v>
                </c:pt>
                <c:pt idx="156">
                  <c:v>10</c:v>
                </c:pt>
                <c:pt idx="157">
                  <c:v>12</c:v>
                </c:pt>
                <c:pt idx="158">
                  <c:v>0</c:v>
                </c:pt>
                <c:pt idx="159">
                  <c:v>0</c:v>
                </c:pt>
                <c:pt idx="160">
                  <c:v>10</c:v>
                </c:pt>
                <c:pt idx="161">
                  <c:v>6</c:v>
                </c:pt>
                <c:pt idx="162">
                  <c:v>24</c:v>
                </c:pt>
                <c:pt idx="163">
                  <c:v>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25</c:v>
                </c:pt>
                <c:pt idx="168">
                  <c:v>12</c:v>
                </c:pt>
                <c:pt idx="169">
                  <c:v>10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10</c:v>
                </c:pt>
                <c:pt idx="176">
                  <c:v>0</c:v>
                </c:pt>
                <c:pt idx="177">
                  <c:v>0</c:v>
                </c:pt>
                <c:pt idx="178">
                  <c:v>10</c:v>
                </c:pt>
                <c:pt idx="179">
                  <c:v>54</c:v>
                </c:pt>
                <c:pt idx="180">
                  <c:v>0</c:v>
                </c:pt>
                <c:pt idx="181">
                  <c:v>0</c:v>
                </c:pt>
                <c:pt idx="182">
                  <c:v>4</c:v>
                </c:pt>
                <c:pt idx="183">
                  <c:v>6</c:v>
                </c:pt>
                <c:pt idx="184">
                  <c:v>10</c:v>
                </c:pt>
                <c:pt idx="185">
                  <c:v>6</c:v>
                </c:pt>
                <c:pt idx="186">
                  <c:v>0</c:v>
                </c:pt>
                <c:pt idx="187">
                  <c:v>11</c:v>
                </c:pt>
                <c:pt idx="188">
                  <c:v>12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13.5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2.5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3.5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7.2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4.2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20.100000000000001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2.4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4</c:v>
                </c:pt>
                <c:pt idx="371">
                  <c:v>0</c:v>
                </c:pt>
                <c:pt idx="372">
                  <c:v>32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25.6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18</c:v>
                </c:pt>
                <c:pt idx="382">
                  <c:v>68.599999999999994</c:v>
                </c:pt>
                <c:pt idx="383">
                  <c:v>0</c:v>
                </c:pt>
                <c:pt idx="384">
                  <c:v>0</c:v>
                </c:pt>
                <c:pt idx="385">
                  <c:v>19.5</c:v>
                </c:pt>
                <c:pt idx="386">
                  <c:v>20.5</c:v>
                </c:pt>
                <c:pt idx="387">
                  <c:v>8</c:v>
                </c:pt>
                <c:pt idx="388">
                  <c:v>10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13.5</c:v>
                </c:pt>
                <c:pt idx="394">
                  <c:v>0</c:v>
                </c:pt>
                <c:pt idx="395">
                  <c:v>0</c:v>
                </c:pt>
                <c:pt idx="396">
                  <c:v>13</c:v>
                </c:pt>
                <c:pt idx="397">
                  <c:v>16</c:v>
                </c:pt>
                <c:pt idx="398">
                  <c:v>0</c:v>
                </c:pt>
                <c:pt idx="399">
                  <c:v>29.6</c:v>
                </c:pt>
                <c:pt idx="400">
                  <c:v>13</c:v>
                </c:pt>
                <c:pt idx="401">
                  <c:v>0</c:v>
                </c:pt>
                <c:pt idx="402">
                  <c:v>0</c:v>
                </c:pt>
                <c:pt idx="403">
                  <c:v>13</c:v>
                </c:pt>
                <c:pt idx="404">
                  <c:v>0</c:v>
                </c:pt>
                <c:pt idx="405">
                  <c:v>54.6</c:v>
                </c:pt>
                <c:pt idx="406">
                  <c:v>0</c:v>
                </c:pt>
                <c:pt idx="407">
                  <c:v>0</c:v>
                </c:pt>
                <c:pt idx="408">
                  <c:v>4.5</c:v>
                </c:pt>
                <c:pt idx="409">
                  <c:v>42.1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24.5</c:v>
                </c:pt>
                <c:pt idx="414">
                  <c:v>30.5</c:v>
                </c:pt>
                <c:pt idx="415">
                  <c:v>0</c:v>
                </c:pt>
                <c:pt idx="416">
                  <c:v>0</c:v>
                </c:pt>
                <c:pt idx="417">
                  <c:v>10</c:v>
                </c:pt>
                <c:pt idx="418">
                  <c:v>4</c:v>
                </c:pt>
                <c:pt idx="419">
                  <c:v>0</c:v>
                </c:pt>
                <c:pt idx="420">
                  <c:v>10</c:v>
                </c:pt>
                <c:pt idx="421">
                  <c:v>0</c:v>
                </c:pt>
                <c:pt idx="422">
                  <c:v>0</c:v>
                </c:pt>
                <c:pt idx="423">
                  <c:v>24</c:v>
                </c:pt>
                <c:pt idx="424">
                  <c:v>4.5</c:v>
                </c:pt>
                <c:pt idx="425">
                  <c:v>25.6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4.5</c:v>
                </c:pt>
                <c:pt idx="458">
                  <c:v>0</c:v>
                </c:pt>
                <c:pt idx="459">
                  <c:v>8</c:v>
                </c:pt>
                <c:pt idx="460">
                  <c:v>0</c:v>
                </c:pt>
                <c:pt idx="461">
                  <c:v>7.5</c:v>
                </c:pt>
                <c:pt idx="462">
                  <c:v>13</c:v>
                </c:pt>
                <c:pt idx="463">
                  <c:v>26</c:v>
                </c:pt>
                <c:pt idx="464">
                  <c:v>4</c:v>
                </c:pt>
                <c:pt idx="465">
                  <c:v>3</c:v>
                </c:pt>
                <c:pt idx="466">
                  <c:v>13</c:v>
                </c:pt>
                <c:pt idx="467">
                  <c:v>3</c:v>
                </c:pt>
                <c:pt idx="468">
                  <c:v>26</c:v>
                </c:pt>
                <c:pt idx="469">
                  <c:v>26</c:v>
                </c:pt>
                <c:pt idx="470">
                  <c:v>12.3</c:v>
                </c:pt>
                <c:pt idx="471">
                  <c:v>26</c:v>
                </c:pt>
                <c:pt idx="472">
                  <c:v>24</c:v>
                </c:pt>
                <c:pt idx="473">
                  <c:v>25</c:v>
                </c:pt>
                <c:pt idx="474">
                  <c:v>0</c:v>
                </c:pt>
                <c:pt idx="475">
                  <c:v>25</c:v>
                </c:pt>
                <c:pt idx="476">
                  <c:v>5</c:v>
                </c:pt>
                <c:pt idx="477">
                  <c:v>0</c:v>
                </c:pt>
                <c:pt idx="478">
                  <c:v>8</c:v>
                </c:pt>
                <c:pt idx="479">
                  <c:v>25</c:v>
                </c:pt>
                <c:pt idx="480">
                  <c:v>0</c:v>
                </c:pt>
                <c:pt idx="481">
                  <c:v>12</c:v>
                </c:pt>
                <c:pt idx="482">
                  <c:v>25</c:v>
                </c:pt>
                <c:pt idx="483">
                  <c:v>20.6</c:v>
                </c:pt>
                <c:pt idx="484">
                  <c:v>16</c:v>
                </c:pt>
                <c:pt idx="485">
                  <c:v>0</c:v>
                </c:pt>
                <c:pt idx="486">
                  <c:v>15</c:v>
                </c:pt>
                <c:pt idx="487">
                  <c:v>4.5</c:v>
                </c:pt>
                <c:pt idx="488">
                  <c:v>0</c:v>
                </c:pt>
                <c:pt idx="489">
                  <c:v>6</c:v>
                </c:pt>
                <c:pt idx="490">
                  <c:v>25</c:v>
                </c:pt>
                <c:pt idx="491">
                  <c:v>0</c:v>
                </c:pt>
                <c:pt idx="492">
                  <c:v>0</c:v>
                </c:pt>
                <c:pt idx="493">
                  <c:v>10.6</c:v>
                </c:pt>
                <c:pt idx="494">
                  <c:v>20</c:v>
                </c:pt>
                <c:pt idx="495">
                  <c:v>0</c:v>
                </c:pt>
                <c:pt idx="496">
                  <c:v>0</c:v>
                </c:pt>
                <c:pt idx="497">
                  <c:v>16.5</c:v>
                </c:pt>
                <c:pt idx="498">
                  <c:v>25</c:v>
                </c:pt>
                <c:pt idx="499">
                  <c:v>22</c:v>
                </c:pt>
                <c:pt idx="500">
                  <c:v>26.5</c:v>
                </c:pt>
                <c:pt idx="501">
                  <c:v>8</c:v>
                </c:pt>
                <c:pt idx="502">
                  <c:v>3.4</c:v>
                </c:pt>
                <c:pt idx="503">
                  <c:v>10</c:v>
                </c:pt>
                <c:pt idx="504">
                  <c:v>0</c:v>
                </c:pt>
                <c:pt idx="505">
                  <c:v>0</c:v>
                </c:pt>
                <c:pt idx="506">
                  <c:v>19</c:v>
                </c:pt>
                <c:pt idx="507">
                  <c:v>23</c:v>
                </c:pt>
                <c:pt idx="508">
                  <c:v>17</c:v>
                </c:pt>
                <c:pt idx="509">
                  <c:v>25.6</c:v>
                </c:pt>
                <c:pt idx="510">
                  <c:v>10</c:v>
                </c:pt>
                <c:pt idx="511">
                  <c:v>16.2</c:v>
                </c:pt>
                <c:pt idx="512">
                  <c:v>4.5999999999999996</c:v>
                </c:pt>
                <c:pt idx="513">
                  <c:v>14.6</c:v>
                </c:pt>
                <c:pt idx="514">
                  <c:v>10.199999999999999</c:v>
                </c:pt>
                <c:pt idx="515">
                  <c:v>8.3000000000000007</c:v>
                </c:pt>
                <c:pt idx="516">
                  <c:v>19.3</c:v>
                </c:pt>
                <c:pt idx="517">
                  <c:v>22</c:v>
                </c:pt>
                <c:pt idx="518">
                  <c:v>20</c:v>
                </c:pt>
                <c:pt idx="519">
                  <c:v>16.5</c:v>
                </c:pt>
                <c:pt idx="520">
                  <c:v>4.5999999999999996</c:v>
                </c:pt>
                <c:pt idx="521">
                  <c:v>10</c:v>
                </c:pt>
                <c:pt idx="522">
                  <c:v>25.6</c:v>
                </c:pt>
                <c:pt idx="523">
                  <c:v>7.5</c:v>
                </c:pt>
                <c:pt idx="524">
                  <c:v>0</c:v>
                </c:pt>
                <c:pt idx="525">
                  <c:v>20.5</c:v>
                </c:pt>
                <c:pt idx="526">
                  <c:v>10</c:v>
                </c:pt>
                <c:pt idx="527">
                  <c:v>26.5</c:v>
                </c:pt>
                <c:pt idx="528">
                  <c:v>11</c:v>
                </c:pt>
                <c:pt idx="529">
                  <c:v>16</c:v>
                </c:pt>
                <c:pt idx="530">
                  <c:v>26</c:v>
                </c:pt>
                <c:pt idx="531">
                  <c:v>0</c:v>
                </c:pt>
                <c:pt idx="532">
                  <c:v>50.6</c:v>
                </c:pt>
                <c:pt idx="533">
                  <c:v>25.5</c:v>
                </c:pt>
                <c:pt idx="534">
                  <c:v>10</c:v>
                </c:pt>
                <c:pt idx="535">
                  <c:v>17.5</c:v>
                </c:pt>
                <c:pt idx="536">
                  <c:v>20.2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10</c:v>
                </c:pt>
                <c:pt idx="541">
                  <c:v>14.5</c:v>
                </c:pt>
                <c:pt idx="542">
                  <c:v>8.4</c:v>
                </c:pt>
                <c:pt idx="543">
                  <c:v>16</c:v>
                </c:pt>
                <c:pt idx="544">
                  <c:v>3.5</c:v>
                </c:pt>
                <c:pt idx="545">
                  <c:v>0</c:v>
                </c:pt>
                <c:pt idx="546">
                  <c:v>0</c:v>
                </c:pt>
                <c:pt idx="547">
                  <c:v>20.5</c:v>
                </c:pt>
                <c:pt idx="548">
                  <c:v>10</c:v>
                </c:pt>
                <c:pt idx="549">
                  <c:v>16.5</c:v>
                </c:pt>
                <c:pt idx="550">
                  <c:v>20</c:v>
                </c:pt>
                <c:pt idx="551">
                  <c:v>10.5</c:v>
                </c:pt>
                <c:pt idx="552">
                  <c:v>0</c:v>
                </c:pt>
                <c:pt idx="553">
                  <c:v>14.6</c:v>
                </c:pt>
                <c:pt idx="554">
                  <c:v>11.3</c:v>
                </c:pt>
                <c:pt idx="555">
                  <c:v>16</c:v>
                </c:pt>
                <c:pt idx="556">
                  <c:v>0</c:v>
                </c:pt>
                <c:pt idx="557">
                  <c:v>10.8</c:v>
                </c:pt>
                <c:pt idx="558">
                  <c:v>7.4</c:v>
                </c:pt>
                <c:pt idx="559">
                  <c:v>0</c:v>
                </c:pt>
                <c:pt idx="560">
                  <c:v>16.5</c:v>
                </c:pt>
                <c:pt idx="561">
                  <c:v>10</c:v>
                </c:pt>
                <c:pt idx="562">
                  <c:v>0</c:v>
                </c:pt>
                <c:pt idx="563">
                  <c:v>16.3</c:v>
                </c:pt>
                <c:pt idx="564">
                  <c:v>10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3.4</c:v>
                </c:pt>
                <c:pt idx="624">
                  <c:v>10.199999999999999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12</c:v>
                </c:pt>
                <c:pt idx="763">
                  <c:v>4.5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10.5</c:v>
                </c:pt>
                <c:pt idx="768">
                  <c:v>16.5</c:v>
                </c:pt>
                <c:pt idx="769">
                  <c:v>20.5</c:v>
                </c:pt>
                <c:pt idx="770">
                  <c:v>13.6</c:v>
                </c:pt>
                <c:pt idx="771">
                  <c:v>10</c:v>
                </c:pt>
                <c:pt idx="772">
                  <c:v>16.5</c:v>
                </c:pt>
                <c:pt idx="773">
                  <c:v>10</c:v>
                </c:pt>
                <c:pt idx="774">
                  <c:v>0</c:v>
                </c:pt>
                <c:pt idx="775">
                  <c:v>16.399999999999999</c:v>
                </c:pt>
                <c:pt idx="776">
                  <c:v>20.5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25</c:v>
                </c:pt>
                <c:pt idx="781">
                  <c:v>18.5</c:v>
                </c:pt>
                <c:pt idx="782">
                  <c:v>10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20.5</c:v>
                </c:pt>
                <c:pt idx="787">
                  <c:v>16.399999999999999</c:v>
                </c:pt>
                <c:pt idx="788">
                  <c:v>18.600000000000001</c:v>
                </c:pt>
                <c:pt idx="789">
                  <c:v>25</c:v>
                </c:pt>
                <c:pt idx="790">
                  <c:v>10.199999999999999</c:v>
                </c:pt>
                <c:pt idx="791">
                  <c:v>13.5</c:v>
                </c:pt>
                <c:pt idx="792">
                  <c:v>10.6</c:v>
                </c:pt>
                <c:pt idx="793">
                  <c:v>6</c:v>
                </c:pt>
                <c:pt idx="794">
                  <c:v>16.2</c:v>
                </c:pt>
                <c:pt idx="795">
                  <c:v>5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10.4</c:v>
                </c:pt>
                <c:pt idx="800">
                  <c:v>20.6</c:v>
                </c:pt>
                <c:pt idx="801">
                  <c:v>11.5</c:v>
                </c:pt>
                <c:pt idx="802">
                  <c:v>16.3</c:v>
                </c:pt>
                <c:pt idx="803">
                  <c:v>3.6</c:v>
                </c:pt>
                <c:pt idx="804">
                  <c:v>0</c:v>
                </c:pt>
                <c:pt idx="805">
                  <c:v>0</c:v>
                </c:pt>
                <c:pt idx="806">
                  <c:v>12.4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17.600000000000001</c:v>
                </c:pt>
                <c:pt idx="811">
                  <c:v>21.4</c:v>
                </c:pt>
                <c:pt idx="812">
                  <c:v>10.5</c:v>
                </c:pt>
                <c:pt idx="813">
                  <c:v>6</c:v>
                </c:pt>
                <c:pt idx="814">
                  <c:v>0</c:v>
                </c:pt>
                <c:pt idx="815">
                  <c:v>16.2</c:v>
                </c:pt>
                <c:pt idx="816">
                  <c:v>21.4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10.5</c:v>
                </c:pt>
                <c:pt idx="821">
                  <c:v>17.600000000000001</c:v>
                </c:pt>
                <c:pt idx="822">
                  <c:v>24.3</c:v>
                </c:pt>
                <c:pt idx="823">
                  <c:v>20.399999999999999</c:v>
                </c:pt>
                <c:pt idx="824">
                  <c:v>2.6</c:v>
                </c:pt>
                <c:pt idx="825">
                  <c:v>7.5</c:v>
                </c:pt>
                <c:pt idx="826">
                  <c:v>18</c:v>
                </c:pt>
                <c:pt idx="827">
                  <c:v>20</c:v>
                </c:pt>
                <c:pt idx="828">
                  <c:v>17.399999999999999</c:v>
                </c:pt>
                <c:pt idx="829">
                  <c:v>6.5</c:v>
                </c:pt>
                <c:pt idx="830">
                  <c:v>20</c:v>
                </c:pt>
                <c:pt idx="831">
                  <c:v>6.4</c:v>
                </c:pt>
                <c:pt idx="832">
                  <c:v>10.4</c:v>
                </c:pt>
                <c:pt idx="833">
                  <c:v>20.100000000000001</c:v>
                </c:pt>
                <c:pt idx="834">
                  <c:v>16.399999999999999</c:v>
                </c:pt>
                <c:pt idx="835">
                  <c:v>11.2</c:v>
                </c:pt>
                <c:pt idx="836">
                  <c:v>0</c:v>
                </c:pt>
                <c:pt idx="837">
                  <c:v>0</c:v>
                </c:pt>
                <c:pt idx="838">
                  <c:v>6.1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10.199999999999999</c:v>
                </c:pt>
                <c:pt idx="849">
                  <c:v>11</c:v>
                </c:pt>
                <c:pt idx="850">
                  <c:v>0</c:v>
                </c:pt>
                <c:pt idx="851">
                  <c:v>0</c:v>
                </c:pt>
                <c:pt idx="852">
                  <c:v>6.7</c:v>
                </c:pt>
                <c:pt idx="853">
                  <c:v>10.199999999999999</c:v>
                </c:pt>
                <c:pt idx="854">
                  <c:v>26</c:v>
                </c:pt>
                <c:pt idx="855">
                  <c:v>10.4</c:v>
                </c:pt>
                <c:pt idx="856">
                  <c:v>7</c:v>
                </c:pt>
                <c:pt idx="857">
                  <c:v>10.6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16.2</c:v>
                </c:pt>
                <c:pt idx="862">
                  <c:v>11.4</c:v>
                </c:pt>
                <c:pt idx="863">
                  <c:v>0</c:v>
                </c:pt>
                <c:pt idx="864">
                  <c:v>0</c:v>
                </c:pt>
                <c:pt idx="865">
                  <c:v>24.3</c:v>
                </c:pt>
                <c:pt idx="866">
                  <c:v>10.6</c:v>
                </c:pt>
                <c:pt idx="867">
                  <c:v>4.3</c:v>
                </c:pt>
                <c:pt idx="868">
                  <c:v>26</c:v>
                </c:pt>
                <c:pt idx="869">
                  <c:v>12.1</c:v>
                </c:pt>
                <c:pt idx="870">
                  <c:v>8.1999999999999993</c:v>
                </c:pt>
                <c:pt idx="871">
                  <c:v>0</c:v>
                </c:pt>
                <c:pt idx="872">
                  <c:v>0</c:v>
                </c:pt>
                <c:pt idx="873">
                  <c:v>26</c:v>
                </c:pt>
                <c:pt idx="874">
                  <c:v>23.4</c:v>
                </c:pt>
                <c:pt idx="875">
                  <c:v>11.6</c:v>
                </c:pt>
                <c:pt idx="876">
                  <c:v>22.4</c:v>
                </c:pt>
                <c:pt idx="877">
                  <c:v>10</c:v>
                </c:pt>
                <c:pt idx="878">
                  <c:v>11.3</c:v>
                </c:pt>
                <c:pt idx="879">
                  <c:v>0</c:v>
                </c:pt>
                <c:pt idx="880">
                  <c:v>0</c:v>
                </c:pt>
                <c:pt idx="881">
                  <c:v>14.5</c:v>
                </c:pt>
                <c:pt idx="882">
                  <c:v>20</c:v>
                </c:pt>
                <c:pt idx="883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9-441A-9C60-7AD21E0C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50272"/>
        <c:axId val="91575040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Totals'!$C$20:$C$1011</c:f>
              <c:numCache>
                <c:formatCode>0.0</c:formatCode>
                <c:ptCount val="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56.5</c:v>
                </c:pt>
                <c:pt idx="18">
                  <c:v>56.5</c:v>
                </c:pt>
                <c:pt idx="19">
                  <c:v>56.5</c:v>
                </c:pt>
                <c:pt idx="20">
                  <c:v>68.5</c:v>
                </c:pt>
                <c:pt idx="21">
                  <c:v>68.5</c:v>
                </c:pt>
                <c:pt idx="22">
                  <c:v>91.5</c:v>
                </c:pt>
                <c:pt idx="23">
                  <c:v>104</c:v>
                </c:pt>
                <c:pt idx="24">
                  <c:v>116.6</c:v>
                </c:pt>
                <c:pt idx="25">
                  <c:v>122.6</c:v>
                </c:pt>
                <c:pt idx="26">
                  <c:v>122.6</c:v>
                </c:pt>
                <c:pt idx="27">
                  <c:v>122.6</c:v>
                </c:pt>
                <c:pt idx="28">
                  <c:v>122.6</c:v>
                </c:pt>
                <c:pt idx="29">
                  <c:v>122.6</c:v>
                </c:pt>
                <c:pt idx="30">
                  <c:v>123.6</c:v>
                </c:pt>
                <c:pt idx="31">
                  <c:v>123.6</c:v>
                </c:pt>
                <c:pt idx="32">
                  <c:v>123.6</c:v>
                </c:pt>
                <c:pt idx="33">
                  <c:v>123.6</c:v>
                </c:pt>
                <c:pt idx="34">
                  <c:v>169.6</c:v>
                </c:pt>
                <c:pt idx="35">
                  <c:v>190.6</c:v>
                </c:pt>
                <c:pt idx="36">
                  <c:v>221.6</c:v>
                </c:pt>
                <c:pt idx="37">
                  <c:v>250.6</c:v>
                </c:pt>
                <c:pt idx="38">
                  <c:v>250.6</c:v>
                </c:pt>
                <c:pt idx="39">
                  <c:v>250.6</c:v>
                </c:pt>
                <c:pt idx="40">
                  <c:v>250.6</c:v>
                </c:pt>
                <c:pt idx="41">
                  <c:v>250.6</c:v>
                </c:pt>
                <c:pt idx="42">
                  <c:v>250.6</c:v>
                </c:pt>
                <c:pt idx="43">
                  <c:v>274.60000000000002</c:v>
                </c:pt>
                <c:pt idx="44">
                  <c:v>277.60000000000002</c:v>
                </c:pt>
                <c:pt idx="45">
                  <c:v>285.10000000000002</c:v>
                </c:pt>
                <c:pt idx="46">
                  <c:v>285.10000000000002</c:v>
                </c:pt>
                <c:pt idx="47">
                  <c:v>285.10000000000002</c:v>
                </c:pt>
                <c:pt idx="48">
                  <c:v>296.10000000000002</c:v>
                </c:pt>
                <c:pt idx="49">
                  <c:v>300.10000000000002</c:v>
                </c:pt>
                <c:pt idx="50">
                  <c:v>300.10000000000002</c:v>
                </c:pt>
                <c:pt idx="51">
                  <c:v>300.10000000000002</c:v>
                </c:pt>
                <c:pt idx="52">
                  <c:v>322.10000000000002</c:v>
                </c:pt>
                <c:pt idx="53">
                  <c:v>322.10000000000002</c:v>
                </c:pt>
                <c:pt idx="54">
                  <c:v>322.10000000000002</c:v>
                </c:pt>
                <c:pt idx="55">
                  <c:v>340.1</c:v>
                </c:pt>
                <c:pt idx="56">
                  <c:v>348.1</c:v>
                </c:pt>
                <c:pt idx="57">
                  <c:v>355.1</c:v>
                </c:pt>
                <c:pt idx="58">
                  <c:v>362.1</c:v>
                </c:pt>
                <c:pt idx="59">
                  <c:v>368.6</c:v>
                </c:pt>
                <c:pt idx="60">
                  <c:v>371.6</c:v>
                </c:pt>
                <c:pt idx="61">
                  <c:v>426.6</c:v>
                </c:pt>
                <c:pt idx="62">
                  <c:v>447.6</c:v>
                </c:pt>
                <c:pt idx="63">
                  <c:v>458.6</c:v>
                </c:pt>
                <c:pt idx="64">
                  <c:v>466.6</c:v>
                </c:pt>
                <c:pt idx="65">
                  <c:v>473.6</c:v>
                </c:pt>
                <c:pt idx="66">
                  <c:v>484.6</c:v>
                </c:pt>
                <c:pt idx="67">
                  <c:v>484.6</c:v>
                </c:pt>
                <c:pt idx="68">
                  <c:v>491.6</c:v>
                </c:pt>
                <c:pt idx="69">
                  <c:v>491.6</c:v>
                </c:pt>
                <c:pt idx="70">
                  <c:v>491.6</c:v>
                </c:pt>
                <c:pt idx="71">
                  <c:v>497.6</c:v>
                </c:pt>
                <c:pt idx="72">
                  <c:v>520.6</c:v>
                </c:pt>
                <c:pt idx="73">
                  <c:v>524.6</c:v>
                </c:pt>
                <c:pt idx="74">
                  <c:v>548.6</c:v>
                </c:pt>
                <c:pt idx="75">
                  <c:v>554.6</c:v>
                </c:pt>
                <c:pt idx="76">
                  <c:v>554.6</c:v>
                </c:pt>
                <c:pt idx="77">
                  <c:v>584.6</c:v>
                </c:pt>
                <c:pt idx="78">
                  <c:v>584.6</c:v>
                </c:pt>
                <c:pt idx="79">
                  <c:v>590.6</c:v>
                </c:pt>
                <c:pt idx="80">
                  <c:v>595.6</c:v>
                </c:pt>
                <c:pt idx="81">
                  <c:v>595.6</c:v>
                </c:pt>
                <c:pt idx="82">
                  <c:v>610.6</c:v>
                </c:pt>
                <c:pt idx="83">
                  <c:v>610.6</c:v>
                </c:pt>
                <c:pt idx="84">
                  <c:v>623.6</c:v>
                </c:pt>
                <c:pt idx="85">
                  <c:v>635.6</c:v>
                </c:pt>
                <c:pt idx="86">
                  <c:v>635.6</c:v>
                </c:pt>
                <c:pt idx="87">
                  <c:v>665.6</c:v>
                </c:pt>
                <c:pt idx="88">
                  <c:v>677.6</c:v>
                </c:pt>
                <c:pt idx="89">
                  <c:v>680.6</c:v>
                </c:pt>
                <c:pt idx="90">
                  <c:v>682.6</c:v>
                </c:pt>
                <c:pt idx="91">
                  <c:v>682.6</c:v>
                </c:pt>
                <c:pt idx="92">
                  <c:v>731.6</c:v>
                </c:pt>
                <c:pt idx="93">
                  <c:v>760.6</c:v>
                </c:pt>
                <c:pt idx="94">
                  <c:v>766.6</c:v>
                </c:pt>
                <c:pt idx="95">
                  <c:v>777.1</c:v>
                </c:pt>
                <c:pt idx="96">
                  <c:v>791.1</c:v>
                </c:pt>
                <c:pt idx="97">
                  <c:v>791.1</c:v>
                </c:pt>
                <c:pt idx="98">
                  <c:v>794.1</c:v>
                </c:pt>
                <c:pt idx="99">
                  <c:v>794.1</c:v>
                </c:pt>
                <c:pt idx="100">
                  <c:v>856.1</c:v>
                </c:pt>
                <c:pt idx="101">
                  <c:v>895.1</c:v>
                </c:pt>
                <c:pt idx="102">
                  <c:v>900.1</c:v>
                </c:pt>
                <c:pt idx="103">
                  <c:v>907.1</c:v>
                </c:pt>
                <c:pt idx="104">
                  <c:v>912.1</c:v>
                </c:pt>
                <c:pt idx="105">
                  <c:v>931.6</c:v>
                </c:pt>
                <c:pt idx="106">
                  <c:v>935.6</c:v>
                </c:pt>
                <c:pt idx="107">
                  <c:v>935.6</c:v>
                </c:pt>
                <c:pt idx="108">
                  <c:v>961.6</c:v>
                </c:pt>
                <c:pt idx="109">
                  <c:v>982.6</c:v>
                </c:pt>
                <c:pt idx="110">
                  <c:v>982.6</c:v>
                </c:pt>
                <c:pt idx="111">
                  <c:v>982.6</c:v>
                </c:pt>
                <c:pt idx="112">
                  <c:v>982.6</c:v>
                </c:pt>
                <c:pt idx="113">
                  <c:v>1041.5999999999999</c:v>
                </c:pt>
                <c:pt idx="114">
                  <c:v>1041.5999999999999</c:v>
                </c:pt>
                <c:pt idx="115">
                  <c:v>1052.5999999999999</c:v>
                </c:pt>
                <c:pt idx="116">
                  <c:v>1097.5999999999999</c:v>
                </c:pt>
                <c:pt idx="117">
                  <c:v>1100.5999999999999</c:v>
                </c:pt>
                <c:pt idx="118">
                  <c:v>1130.5999999999999</c:v>
                </c:pt>
                <c:pt idx="119">
                  <c:v>1134.5999999999999</c:v>
                </c:pt>
                <c:pt idx="120">
                  <c:v>1136.5999999999999</c:v>
                </c:pt>
                <c:pt idx="121">
                  <c:v>1136.5999999999999</c:v>
                </c:pt>
                <c:pt idx="122">
                  <c:v>1140.5999999999999</c:v>
                </c:pt>
                <c:pt idx="123">
                  <c:v>1143.0999999999999</c:v>
                </c:pt>
                <c:pt idx="124">
                  <c:v>1143.0999999999999</c:v>
                </c:pt>
                <c:pt idx="125">
                  <c:v>1147.0999999999999</c:v>
                </c:pt>
                <c:pt idx="126">
                  <c:v>1166.0999999999999</c:v>
                </c:pt>
                <c:pt idx="127">
                  <c:v>1166.0999999999999</c:v>
                </c:pt>
                <c:pt idx="128">
                  <c:v>1171.0999999999999</c:v>
                </c:pt>
                <c:pt idx="129">
                  <c:v>1171.0999999999999</c:v>
                </c:pt>
                <c:pt idx="130">
                  <c:v>1195.0999999999999</c:v>
                </c:pt>
                <c:pt idx="131">
                  <c:v>1220.0999999999999</c:v>
                </c:pt>
                <c:pt idx="132">
                  <c:v>1238.0999999999999</c:v>
                </c:pt>
                <c:pt idx="133">
                  <c:v>1263.0999999999999</c:v>
                </c:pt>
                <c:pt idx="134">
                  <c:v>1265.0999999999999</c:v>
                </c:pt>
                <c:pt idx="135">
                  <c:v>1275.0999999999999</c:v>
                </c:pt>
                <c:pt idx="136">
                  <c:v>1279.0999999999999</c:v>
                </c:pt>
                <c:pt idx="137">
                  <c:v>1304.0999999999999</c:v>
                </c:pt>
                <c:pt idx="138">
                  <c:v>1304.0999999999999</c:v>
                </c:pt>
                <c:pt idx="139">
                  <c:v>1314.1</c:v>
                </c:pt>
                <c:pt idx="140">
                  <c:v>1325.1</c:v>
                </c:pt>
                <c:pt idx="141">
                  <c:v>1325.1</c:v>
                </c:pt>
                <c:pt idx="142">
                  <c:v>1325.1</c:v>
                </c:pt>
                <c:pt idx="143">
                  <c:v>1325.1</c:v>
                </c:pt>
                <c:pt idx="144">
                  <c:v>1346.1</c:v>
                </c:pt>
                <c:pt idx="145">
                  <c:v>1346.1</c:v>
                </c:pt>
                <c:pt idx="146">
                  <c:v>1346.1</c:v>
                </c:pt>
                <c:pt idx="147">
                  <c:v>1366.1</c:v>
                </c:pt>
                <c:pt idx="148">
                  <c:v>1391.1</c:v>
                </c:pt>
                <c:pt idx="149">
                  <c:v>1409.1</c:v>
                </c:pt>
                <c:pt idx="150">
                  <c:v>1416.1</c:v>
                </c:pt>
                <c:pt idx="151">
                  <c:v>1416.1</c:v>
                </c:pt>
                <c:pt idx="152">
                  <c:v>1426.1</c:v>
                </c:pt>
                <c:pt idx="153">
                  <c:v>1441.1</c:v>
                </c:pt>
                <c:pt idx="154">
                  <c:v>1445.1</c:v>
                </c:pt>
                <c:pt idx="155">
                  <c:v>1445.1</c:v>
                </c:pt>
                <c:pt idx="156">
                  <c:v>1455.1</c:v>
                </c:pt>
                <c:pt idx="157">
                  <c:v>1467.1</c:v>
                </c:pt>
                <c:pt idx="158">
                  <c:v>1467.1</c:v>
                </c:pt>
                <c:pt idx="159">
                  <c:v>1467.1</c:v>
                </c:pt>
                <c:pt idx="160">
                  <c:v>1477.1</c:v>
                </c:pt>
                <c:pt idx="161">
                  <c:v>1483.1</c:v>
                </c:pt>
                <c:pt idx="162">
                  <c:v>1507.1</c:v>
                </c:pt>
                <c:pt idx="163">
                  <c:v>1507.1</c:v>
                </c:pt>
                <c:pt idx="164">
                  <c:v>1507.1</c:v>
                </c:pt>
                <c:pt idx="165">
                  <c:v>1517.1</c:v>
                </c:pt>
                <c:pt idx="166">
                  <c:v>1517.1</c:v>
                </c:pt>
                <c:pt idx="167">
                  <c:v>1542.1</c:v>
                </c:pt>
                <c:pt idx="168">
                  <c:v>1554.1</c:v>
                </c:pt>
                <c:pt idx="169">
                  <c:v>1564.1</c:v>
                </c:pt>
                <c:pt idx="170">
                  <c:v>1564.1</c:v>
                </c:pt>
                <c:pt idx="171">
                  <c:v>1564.1</c:v>
                </c:pt>
                <c:pt idx="172">
                  <c:v>1564.1</c:v>
                </c:pt>
                <c:pt idx="173">
                  <c:v>1564.1</c:v>
                </c:pt>
                <c:pt idx="174">
                  <c:v>1564.1</c:v>
                </c:pt>
                <c:pt idx="175">
                  <c:v>1574.1</c:v>
                </c:pt>
                <c:pt idx="176">
                  <c:v>1574.1</c:v>
                </c:pt>
                <c:pt idx="177">
                  <c:v>1574.1</c:v>
                </c:pt>
                <c:pt idx="178">
                  <c:v>1584.1</c:v>
                </c:pt>
                <c:pt idx="179">
                  <c:v>1638.1</c:v>
                </c:pt>
                <c:pt idx="180">
                  <c:v>1638.1</c:v>
                </c:pt>
                <c:pt idx="181">
                  <c:v>1638.1</c:v>
                </c:pt>
                <c:pt idx="182">
                  <c:v>1642.1</c:v>
                </c:pt>
                <c:pt idx="183">
                  <c:v>1648.1</c:v>
                </c:pt>
                <c:pt idx="184">
                  <c:v>1658.1</c:v>
                </c:pt>
                <c:pt idx="185">
                  <c:v>1664.1</c:v>
                </c:pt>
                <c:pt idx="186">
                  <c:v>1664.1</c:v>
                </c:pt>
                <c:pt idx="187">
                  <c:v>1675.1</c:v>
                </c:pt>
                <c:pt idx="188">
                  <c:v>1687.1</c:v>
                </c:pt>
                <c:pt idx="189">
                  <c:v>1687.1</c:v>
                </c:pt>
                <c:pt idx="190">
                  <c:v>1687.1</c:v>
                </c:pt>
                <c:pt idx="191">
                  <c:v>1688.1</c:v>
                </c:pt>
                <c:pt idx="192">
                  <c:v>1688.1</c:v>
                </c:pt>
                <c:pt idx="193">
                  <c:v>1688.1</c:v>
                </c:pt>
                <c:pt idx="194">
                  <c:v>1688.1</c:v>
                </c:pt>
                <c:pt idx="195">
                  <c:v>1688.1</c:v>
                </c:pt>
                <c:pt idx="196">
                  <c:v>1688.1</c:v>
                </c:pt>
                <c:pt idx="197">
                  <c:v>1688.1</c:v>
                </c:pt>
                <c:pt idx="198">
                  <c:v>1688.1</c:v>
                </c:pt>
                <c:pt idx="199">
                  <c:v>1701.6</c:v>
                </c:pt>
                <c:pt idx="200">
                  <c:v>1701.6</c:v>
                </c:pt>
                <c:pt idx="201">
                  <c:v>1701.6</c:v>
                </c:pt>
                <c:pt idx="202">
                  <c:v>1701.6</c:v>
                </c:pt>
                <c:pt idx="203">
                  <c:v>1726.6</c:v>
                </c:pt>
                <c:pt idx="204">
                  <c:v>1726.6</c:v>
                </c:pt>
                <c:pt idx="205">
                  <c:v>1726.6</c:v>
                </c:pt>
                <c:pt idx="206">
                  <c:v>1726.6</c:v>
                </c:pt>
                <c:pt idx="207">
                  <c:v>1729.6</c:v>
                </c:pt>
                <c:pt idx="208">
                  <c:v>1729.6</c:v>
                </c:pt>
                <c:pt idx="209">
                  <c:v>1729.6</c:v>
                </c:pt>
                <c:pt idx="210">
                  <c:v>1729.6</c:v>
                </c:pt>
                <c:pt idx="211">
                  <c:v>1729.6</c:v>
                </c:pt>
                <c:pt idx="212">
                  <c:v>1729.6</c:v>
                </c:pt>
                <c:pt idx="213">
                  <c:v>1729.6</c:v>
                </c:pt>
                <c:pt idx="214">
                  <c:v>1732.1</c:v>
                </c:pt>
                <c:pt idx="215">
                  <c:v>1732.1</c:v>
                </c:pt>
                <c:pt idx="216">
                  <c:v>1732.1</c:v>
                </c:pt>
                <c:pt idx="217">
                  <c:v>1732.1</c:v>
                </c:pt>
                <c:pt idx="218">
                  <c:v>1732.1</c:v>
                </c:pt>
                <c:pt idx="219">
                  <c:v>1732.1</c:v>
                </c:pt>
                <c:pt idx="220">
                  <c:v>1732.1</c:v>
                </c:pt>
                <c:pt idx="221">
                  <c:v>1732.1</c:v>
                </c:pt>
                <c:pt idx="222">
                  <c:v>1732.1</c:v>
                </c:pt>
                <c:pt idx="223">
                  <c:v>1732.1</c:v>
                </c:pt>
                <c:pt idx="224">
                  <c:v>1732.1</c:v>
                </c:pt>
                <c:pt idx="225">
                  <c:v>1732.1</c:v>
                </c:pt>
                <c:pt idx="226">
                  <c:v>1732.1</c:v>
                </c:pt>
                <c:pt idx="227">
                  <c:v>1732.1</c:v>
                </c:pt>
                <c:pt idx="228">
                  <c:v>1732.1</c:v>
                </c:pt>
                <c:pt idx="229">
                  <c:v>1732.1</c:v>
                </c:pt>
                <c:pt idx="230">
                  <c:v>1732.1</c:v>
                </c:pt>
                <c:pt idx="231">
                  <c:v>1732.1</c:v>
                </c:pt>
                <c:pt idx="232">
                  <c:v>1732.1</c:v>
                </c:pt>
                <c:pt idx="233">
                  <c:v>1732.1</c:v>
                </c:pt>
                <c:pt idx="234">
                  <c:v>1732.1</c:v>
                </c:pt>
                <c:pt idx="235">
                  <c:v>1732.1</c:v>
                </c:pt>
                <c:pt idx="236">
                  <c:v>1732.1</c:v>
                </c:pt>
                <c:pt idx="237">
                  <c:v>1732.1</c:v>
                </c:pt>
                <c:pt idx="238">
                  <c:v>1732.1</c:v>
                </c:pt>
                <c:pt idx="239">
                  <c:v>1732.1</c:v>
                </c:pt>
                <c:pt idx="240">
                  <c:v>1732.1</c:v>
                </c:pt>
                <c:pt idx="241">
                  <c:v>1732.1</c:v>
                </c:pt>
                <c:pt idx="242">
                  <c:v>1732.1</c:v>
                </c:pt>
                <c:pt idx="243">
                  <c:v>1732.1</c:v>
                </c:pt>
                <c:pt idx="244">
                  <c:v>1732.1</c:v>
                </c:pt>
                <c:pt idx="245">
                  <c:v>1732.1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8.5</c:v>
                </c:pt>
                <c:pt idx="324">
                  <c:v>8.5</c:v>
                </c:pt>
                <c:pt idx="325">
                  <c:v>8.5</c:v>
                </c:pt>
                <c:pt idx="326">
                  <c:v>8.5</c:v>
                </c:pt>
                <c:pt idx="327">
                  <c:v>8.5</c:v>
                </c:pt>
                <c:pt idx="328">
                  <c:v>8.5</c:v>
                </c:pt>
                <c:pt idx="329">
                  <c:v>8.5</c:v>
                </c:pt>
                <c:pt idx="330">
                  <c:v>8.5</c:v>
                </c:pt>
                <c:pt idx="331">
                  <c:v>8.5</c:v>
                </c:pt>
                <c:pt idx="332">
                  <c:v>8.5</c:v>
                </c:pt>
                <c:pt idx="333">
                  <c:v>8.5</c:v>
                </c:pt>
                <c:pt idx="334">
                  <c:v>8.5</c:v>
                </c:pt>
                <c:pt idx="335">
                  <c:v>8.5</c:v>
                </c:pt>
                <c:pt idx="336">
                  <c:v>8.5</c:v>
                </c:pt>
                <c:pt idx="337">
                  <c:v>8.5</c:v>
                </c:pt>
                <c:pt idx="338">
                  <c:v>8.5</c:v>
                </c:pt>
                <c:pt idx="339">
                  <c:v>8.5</c:v>
                </c:pt>
                <c:pt idx="340">
                  <c:v>8.5</c:v>
                </c:pt>
                <c:pt idx="341">
                  <c:v>15.7</c:v>
                </c:pt>
                <c:pt idx="342">
                  <c:v>15.7</c:v>
                </c:pt>
                <c:pt idx="343">
                  <c:v>15.7</c:v>
                </c:pt>
                <c:pt idx="344">
                  <c:v>15.7</c:v>
                </c:pt>
                <c:pt idx="345">
                  <c:v>15.7</c:v>
                </c:pt>
                <c:pt idx="346">
                  <c:v>15.7</c:v>
                </c:pt>
                <c:pt idx="347">
                  <c:v>15.7</c:v>
                </c:pt>
                <c:pt idx="348">
                  <c:v>19.899999999999999</c:v>
                </c:pt>
                <c:pt idx="349">
                  <c:v>19.899999999999999</c:v>
                </c:pt>
                <c:pt idx="350">
                  <c:v>19.899999999999999</c:v>
                </c:pt>
                <c:pt idx="351">
                  <c:v>19.899999999999999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19.899999999999999</c:v>
                </c:pt>
                <c:pt idx="355">
                  <c:v>19.899999999999999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42.4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42.4</c:v>
                </c:pt>
                <c:pt idx="368">
                  <c:v>42.4</c:v>
                </c:pt>
                <c:pt idx="369">
                  <c:v>42.4</c:v>
                </c:pt>
                <c:pt idx="370">
                  <c:v>46.4</c:v>
                </c:pt>
                <c:pt idx="371">
                  <c:v>46.4</c:v>
                </c:pt>
                <c:pt idx="372">
                  <c:v>78.400000000000006</c:v>
                </c:pt>
                <c:pt idx="373">
                  <c:v>78.400000000000006</c:v>
                </c:pt>
                <c:pt idx="374">
                  <c:v>78.400000000000006</c:v>
                </c:pt>
                <c:pt idx="375">
                  <c:v>78.400000000000006</c:v>
                </c:pt>
                <c:pt idx="376">
                  <c:v>80.400000000000006</c:v>
                </c:pt>
                <c:pt idx="377">
                  <c:v>106</c:v>
                </c:pt>
                <c:pt idx="378">
                  <c:v>106</c:v>
                </c:pt>
                <c:pt idx="379">
                  <c:v>106</c:v>
                </c:pt>
                <c:pt idx="380">
                  <c:v>106</c:v>
                </c:pt>
                <c:pt idx="381">
                  <c:v>124</c:v>
                </c:pt>
                <c:pt idx="382">
                  <c:v>192.6</c:v>
                </c:pt>
                <c:pt idx="383">
                  <c:v>192.6</c:v>
                </c:pt>
                <c:pt idx="384">
                  <c:v>192.6</c:v>
                </c:pt>
                <c:pt idx="385">
                  <c:v>212.1</c:v>
                </c:pt>
                <c:pt idx="386">
                  <c:v>232.6</c:v>
                </c:pt>
                <c:pt idx="387">
                  <c:v>240.6</c:v>
                </c:pt>
                <c:pt idx="388">
                  <c:v>250.6</c:v>
                </c:pt>
                <c:pt idx="389">
                  <c:v>250.6</c:v>
                </c:pt>
                <c:pt idx="390">
                  <c:v>250.6</c:v>
                </c:pt>
                <c:pt idx="391">
                  <c:v>250.6</c:v>
                </c:pt>
                <c:pt idx="392">
                  <c:v>250.6</c:v>
                </c:pt>
                <c:pt idx="393">
                  <c:v>264.10000000000002</c:v>
                </c:pt>
                <c:pt idx="394">
                  <c:v>264.10000000000002</c:v>
                </c:pt>
                <c:pt idx="395">
                  <c:v>264.10000000000002</c:v>
                </c:pt>
                <c:pt idx="396">
                  <c:v>277.10000000000002</c:v>
                </c:pt>
                <c:pt idx="397">
                  <c:v>293.10000000000002</c:v>
                </c:pt>
                <c:pt idx="398">
                  <c:v>293.10000000000002</c:v>
                </c:pt>
                <c:pt idx="399">
                  <c:v>322.70000000000005</c:v>
                </c:pt>
                <c:pt idx="400">
                  <c:v>335.70000000000005</c:v>
                </c:pt>
                <c:pt idx="401">
                  <c:v>335.70000000000005</c:v>
                </c:pt>
                <c:pt idx="402">
                  <c:v>335.70000000000005</c:v>
                </c:pt>
                <c:pt idx="403">
                  <c:v>348.70000000000005</c:v>
                </c:pt>
                <c:pt idx="404">
                  <c:v>348.70000000000005</c:v>
                </c:pt>
                <c:pt idx="405">
                  <c:v>403.30000000000007</c:v>
                </c:pt>
                <c:pt idx="406">
                  <c:v>403.30000000000007</c:v>
                </c:pt>
                <c:pt idx="407">
                  <c:v>403.30000000000007</c:v>
                </c:pt>
                <c:pt idx="408">
                  <c:v>407.80000000000007</c:v>
                </c:pt>
                <c:pt idx="409">
                  <c:v>449.90000000000009</c:v>
                </c:pt>
                <c:pt idx="410">
                  <c:v>449.90000000000009</c:v>
                </c:pt>
                <c:pt idx="411">
                  <c:v>449.90000000000009</c:v>
                </c:pt>
                <c:pt idx="412">
                  <c:v>449.90000000000009</c:v>
                </c:pt>
                <c:pt idx="413">
                  <c:v>474.40000000000009</c:v>
                </c:pt>
                <c:pt idx="414">
                  <c:v>504.90000000000009</c:v>
                </c:pt>
                <c:pt idx="415">
                  <c:v>504.90000000000009</c:v>
                </c:pt>
                <c:pt idx="416">
                  <c:v>504.90000000000009</c:v>
                </c:pt>
                <c:pt idx="417">
                  <c:v>514.90000000000009</c:v>
                </c:pt>
                <c:pt idx="418">
                  <c:v>518.90000000000009</c:v>
                </c:pt>
                <c:pt idx="419">
                  <c:v>518.90000000000009</c:v>
                </c:pt>
                <c:pt idx="420">
                  <c:v>528.90000000000009</c:v>
                </c:pt>
                <c:pt idx="421">
                  <c:v>528.90000000000009</c:v>
                </c:pt>
                <c:pt idx="422">
                  <c:v>528.90000000000009</c:v>
                </c:pt>
                <c:pt idx="423">
                  <c:v>552.90000000000009</c:v>
                </c:pt>
                <c:pt idx="424">
                  <c:v>557.40000000000009</c:v>
                </c:pt>
                <c:pt idx="425">
                  <c:v>583.00000000000011</c:v>
                </c:pt>
                <c:pt idx="426">
                  <c:v>583.00000000000011</c:v>
                </c:pt>
                <c:pt idx="427">
                  <c:v>583.00000000000011</c:v>
                </c:pt>
                <c:pt idx="428">
                  <c:v>583.00000000000011</c:v>
                </c:pt>
                <c:pt idx="429">
                  <c:v>583.00000000000011</c:v>
                </c:pt>
                <c:pt idx="430">
                  <c:v>583.00000000000011</c:v>
                </c:pt>
                <c:pt idx="431">
                  <c:v>583.00000000000011</c:v>
                </c:pt>
                <c:pt idx="432">
                  <c:v>583.00000000000011</c:v>
                </c:pt>
                <c:pt idx="433">
                  <c:v>583.00000000000011</c:v>
                </c:pt>
                <c:pt idx="434">
                  <c:v>583.00000000000011</c:v>
                </c:pt>
                <c:pt idx="435">
                  <c:v>583.00000000000011</c:v>
                </c:pt>
                <c:pt idx="436">
                  <c:v>583.00000000000011</c:v>
                </c:pt>
                <c:pt idx="437">
                  <c:v>583.00000000000011</c:v>
                </c:pt>
                <c:pt idx="438">
                  <c:v>583.00000000000011</c:v>
                </c:pt>
                <c:pt idx="439">
                  <c:v>583.00000000000011</c:v>
                </c:pt>
                <c:pt idx="440">
                  <c:v>583.00000000000011</c:v>
                </c:pt>
                <c:pt idx="441">
                  <c:v>583.00000000000011</c:v>
                </c:pt>
                <c:pt idx="442">
                  <c:v>583.00000000000011</c:v>
                </c:pt>
                <c:pt idx="443">
                  <c:v>583.00000000000011</c:v>
                </c:pt>
                <c:pt idx="444">
                  <c:v>583.00000000000011</c:v>
                </c:pt>
                <c:pt idx="445">
                  <c:v>583.00000000000011</c:v>
                </c:pt>
                <c:pt idx="446">
                  <c:v>583.00000000000011</c:v>
                </c:pt>
                <c:pt idx="447">
                  <c:v>583.00000000000011</c:v>
                </c:pt>
                <c:pt idx="448">
                  <c:v>583.00000000000011</c:v>
                </c:pt>
                <c:pt idx="449">
                  <c:v>583.00000000000011</c:v>
                </c:pt>
                <c:pt idx="450">
                  <c:v>583.00000000000011</c:v>
                </c:pt>
                <c:pt idx="451">
                  <c:v>583.00000000000011</c:v>
                </c:pt>
                <c:pt idx="452">
                  <c:v>583.00000000000011</c:v>
                </c:pt>
                <c:pt idx="453">
                  <c:v>583.00000000000011</c:v>
                </c:pt>
                <c:pt idx="454">
                  <c:v>583.00000000000011</c:v>
                </c:pt>
                <c:pt idx="455">
                  <c:v>583.00000000000011</c:v>
                </c:pt>
                <c:pt idx="456">
                  <c:v>583.00000000000011</c:v>
                </c:pt>
                <c:pt idx="457">
                  <c:v>587.50000000000011</c:v>
                </c:pt>
                <c:pt idx="458">
                  <c:v>587.50000000000011</c:v>
                </c:pt>
                <c:pt idx="459">
                  <c:v>595.50000000000011</c:v>
                </c:pt>
                <c:pt idx="460">
                  <c:v>595.50000000000011</c:v>
                </c:pt>
                <c:pt idx="461">
                  <c:v>603.00000000000011</c:v>
                </c:pt>
                <c:pt idx="462">
                  <c:v>616.00000000000011</c:v>
                </c:pt>
                <c:pt idx="463">
                  <c:v>642.00000000000011</c:v>
                </c:pt>
                <c:pt idx="464">
                  <c:v>646.00000000000011</c:v>
                </c:pt>
                <c:pt idx="465">
                  <c:v>649.00000000000011</c:v>
                </c:pt>
                <c:pt idx="466">
                  <c:v>662.00000000000011</c:v>
                </c:pt>
                <c:pt idx="467">
                  <c:v>665.00000000000011</c:v>
                </c:pt>
                <c:pt idx="468">
                  <c:v>691.00000000000011</c:v>
                </c:pt>
                <c:pt idx="469">
                  <c:v>717.00000000000011</c:v>
                </c:pt>
                <c:pt idx="470">
                  <c:v>729.30000000000007</c:v>
                </c:pt>
                <c:pt idx="471">
                  <c:v>755.30000000000007</c:v>
                </c:pt>
                <c:pt idx="472">
                  <c:v>779.30000000000007</c:v>
                </c:pt>
                <c:pt idx="473">
                  <c:v>804.30000000000007</c:v>
                </c:pt>
                <c:pt idx="474">
                  <c:v>804.30000000000007</c:v>
                </c:pt>
                <c:pt idx="475">
                  <c:v>829.30000000000007</c:v>
                </c:pt>
                <c:pt idx="476">
                  <c:v>834.30000000000007</c:v>
                </c:pt>
                <c:pt idx="477">
                  <c:v>834.30000000000007</c:v>
                </c:pt>
                <c:pt idx="478">
                  <c:v>842.30000000000007</c:v>
                </c:pt>
                <c:pt idx="479">
                  <c:v>867.30000000000007</c:v>
                </c:pt>
                <c:pt idx="480">
                  <c:v>867.30000000000007</c:v>
                </c:pt>
                <c:pt idx="481">
                  <c:v>879.30000000000007</c:v>
                </c:pt>
                <c:pt idx="482">
                  <c:v>904.30000000000007</c:v>
                </c:pt>
                <c:pt idx="483">
                  <c:v>924.90000000000009</c:v>
                </c:pt>
                <c:pt idx="484">
                  <c:v>940.90000000000009</c:v>
                </c:pt>
                <c:pt idx="485">
                  <c:v>940.90000000000009</c:v>
                </c:pt>
                <c:pt idx="486">
                  <c:v>955.90000000000009</c:v>
                </c:pt>
                <c:pt idx="487">
                  <c:v>960.40000000000009</c:v>
                </c:pt>
                <c:pt idx="488">
                  <c:v>960.40000000000009</c:v>
                </c:pt>
                <c:pt idx="489">
                  <c:v>966.40000000000009</c:v>
                </c:pt>
                <c:pt idx="490">
                  <c:v>991.40000000000009</c:v>
                </c:pt>
                <c:pt idx="491">
                  <c:v>991.40000000000009</c:v>
                </c:pt>
                <c:pt idx="492">
                  <c:v>991.40000000000009</c:v>
                </c:pt>
                <c:pt idx="493">
                  <c:v>1002.0000000000001</c:v>
                </c:pt>
                <c:pt idx="494">
                  <c:v>1022.0000000000001</c:v>
                </c:pt>
                <c:pt idx="495">
                  <c:v>1022.0000000000001</c:v>
                </c:pt>
                <c:pt idx="496">
                  <c:v>1022.0000000000001</c:v>
                </c:pt>
                <c:pt idx="497">
                  <c:v>1038.5</c:v>
                </c:pt>
                <c:pt idx="498">
                  <c:v>1063.5</c:v>
                </c:pt>
                <c:pt idx="499">
                  <c:v>1085.5</c:v>
                </c:pt>
                <c:pt idx="500">
                  <c:v>1112</c:v>
                </c:pt>
                <c:pt idx="501">
                  <c:v>1120</c:v>
                </c:pt>
                <c:pt idx="502">
                  <c:v>1123.4000000000001</c:v>
                </c:pt>
                <c:pt idx="503">
                  <c:v>1133.4000000000001</c:v>
                </c:pt>
                <c:pt idx="504">
                  <c:v>1133.4000000000001</c:v>
                </c:pt>
                <c:pt idx="505">
                  <c:v>1133.4000000000001</c:v>
                </c:pt>
                <c:pt idx="506">
                  <c:v>1152.4000000000001</c:v>
                </c:pt>
                <c:pt idx="507">
                  <c:v>1175.4000000000001</c:v>
                </c:pt>
                <c:pt idx="508">
                  <c:v>1192.4000000000001</c:v>
                </c:pt>
                <c:pt idx="509">
                  <c:v>1218</c:v>
                </c:pt>
                <c:pt idx="510">
                  <c:v>1228</c:v>
                </c:pt>
                <c:pt idx="511">
                  <c:v>1244.2</c:v>
                </c:pt>
                <c:pt idx="512">
                  <c:v>1248.8</c:v>
                </c:pt>
                <c:pt idx="513">
                  <c:v>1263.3999999999999</c:v>
                </c:pt>
                <c:pt idx="514">
                  <c:v>1273.5999999999999</c:v>
                </c:pt>
                <c:pt idx="515">
                  <c:v>1281.8999999999999</c:v>
                </c:pt>
                <c:pt idx="516">
                  <c:v>1301.1999999999998</c:v>
                </c:pt>
                <c:pt idx="517">
                  <c:v>1323.1999999999998</c:v>
                </c:pt>
                <c:pt idx="518">
                  <c:v>1343.1999999999998</c:v>
                </c:pt>
                <c:pt idx="519">
                  <c:v>1359.6999999999998</c:v>
                </c:pt>
                <c:pt idx="520">
                  <c:v>1364.2999999999997</c:v>
                </c:pt>
                <c:pt idx="521">
                  <c:v>1374.2999999999997</c:v>
                </c:pt>
                <c:pt idx="522">
                  <c:v>1399.8999999999996</c:v>
                </c:pt>
                <c:pt idx="523">
                  <c:v>1407.3999999999996</c:v>
                </c:pt>
                <c:pt idx="524">
                  <c:v>1407.3999999999996</c:v>
                </c:pt>
                <c:pt idx="525">
                  <c:v>1427.8999999999996</c:v>
                </c:pt>
                <c:pt idx="526">
                  <c:v>1437.8999999999996</c:v>
                </c:pt>
                <c:pt idx="527">
                  <c:v>1464.3999999999996</c:v>
                </c:pt>
                <c:pt idx="528">
                  <c:v>1475.3999999999996</c:v>
                </c:pt>
                <c:pt idx="529">
                  <c:v>1491.3999999999996</c:v>
                </c:pt>
                <c:pt idx="530">
                  <c:v>1517.3999999999996</c:v>
                </c:pt>
                <c:pt idx="531">
                  <c:v>1517.3999999999996</c:v>
                </c:pt>
                <c:pt idx="532">
                  <c:v>1567.9999999999995</c:v>
                </c:pt>
                <c:pt idx="533">
                  <c:v>1593.4999999999995</c:v>
                </c:pt>
                <c:pt idx="534">
                  <c:v>1603.4999999999995</c:v>
                </c:pt>
                <c:pt idx="535">
                  <c:v>1620.9999999999995</c:v>
                </c:pt>
                <c:pt idx="536">
                  <c:v>1641.1999999999996</c:v>
                </c:pt>
                <c:pt idx="537">
                  <c:v>1641.1999999999996</c:v>
                </c:pt>
                <c:pt idx="538">
                  <c:v>1641.1999999999996</c:v>
                </c:pt>
                <c:pt idx="539">
                  <c:v>1641.1999999999996</c:v>
                </c:pt>
                <c:pt idx="540">
                  <c:v>1651.1999999999996</c:v>
                </c:pt>
                <c:pt idx="541">
                  <c:v>1665.6999999999996</c:v>
                </c:pt>
                <c:pt idx="542">
                  <c:v>1674.0999999999997</c:v>
                </c:pt>
                <c:pt idx="543">
                  <c:v>1690.0999999999997</c:v>
                </c:pt>
                <c:pt idx="544">
                  <c:v>1693.5999999999997</c:v>
                </c:pt>
                <c:pt idx="545">
                  <c:v>1693.5999999999997</c:v>
                </c:pt>
                <c:pt idx="546">
                  <c:v>1693.5999999999997</c:v>
                </c:pt>
                <c:pt idx="547">
                  <c:v>1714.0999999999997</c:v>
                </c:pt>
                <c:pt idx="548">
                  <c:v>1724.0999999999997</c:v>
                </c:pt>
                <c:pt idx="549">
                  <c:v>1740.5999999999997</c:v>
                </c:pt>
                <c:pt idx="550">
                  <c:v>1760.5999999999997</c:v>
                </c:pt>
                <c:pt idx="551">
                  <c:v>1771.0999999999997</c:v>
                </c:pt>
                <c:pt idx="552">
                  <c:v>1771.0999999999997</c:v>
                </c:pt>
                <c:pt idx="553">
                  <c:v>1785.6999999999996</c:v>
                </c:pt>
                <c:pt idx="554">
                  <c:v>1796.9999999999995</c:v>
                </c:pt>
                <c:pt idx="555">
                  <c:v>1812.9999999999995</c:v>
                </c:pt>
                <c:pt idx="556">
                  <c:v>1812.9999999999995</c:v>
                </c:pt>
                <c:pt idx="557">
                  <c:v>1823.7999999999995</c:v>
                </c:pt>
                <c:pt idx="558">
                  <c:v>1831.1999999999996</c:v>
                </c:pt>
                <c:pt idx="559">
                  <c:v>1831.1999999999996</c:v>
                </c:pt>
                <c:pt idx="560">
                  <c:v>1847.6999999999996</c:v>
                </c:pt>
                <c:pt idx="561">
                  <c:v>1857.6999999999996</c:v>
                </c:pt>
                <c:pt idx="562">
                  <c:v>1857.6999999999996</c:v>
                </c:pt>
                <c:pt idx="563">
                  <c:v>1873.9999999999995</c:v>
                </c:pt>
                <c:pt idx="564">
                  <c:v>1883.9999999999995</c:v>
                </c:pt>
                <c:pt idx="565">
                  <c:v>1883.9999999999995</c:v>
                </c:pt>
                <c:pt idx="566">
                  <c:v>1883.9999999999995</c:v>
                </c:pt>
                <c:pt idx="567">
                  <c:v>1883.9999999999995</c:v>
                </c:pt>
                <c:pt idx="568">
                  <c:v>1883.9999999999995</c:v>
                </c:pt>
                <c:pt idx="569">
                  <c:v>1883.9999999999995</c:v>
                </c:pt>
                <c:pt idx="570">
                  <c:v>1883.9999999999995</c:v>
                </c:pt>
                <c:pt idx="571">
                  <c:v>1883.9999999999995</c:v>
                </c:pt>
                <c:pt idx="572">
                  <c:v>1883.9999999999995</c:v>
                </c:pt>
                <c:pt idx="573">
                  <c:v>1883.9999999999995</c:v>
                </c:pt>
                <c:pt idx="574">
                  <c:v>1883.9999999999995</c:v>
                </c:pt>
                <c:pt idx="575">
                  <c:v>1883.9999999999995</c:v>
                </c:pt>
                <c:pt idx="576">
                  <c:v>1883.9999999999995</c:v>
                </c:pt>
                <c:pt idx="577">
                  <c:v>1883.9999999999995</c:v>
                </c:pt>
                <c:pt idx="578">
                  <c:v>1883.9999999999995</c:v>
                </c:pt>
                <c:pt idx="579">
                  <c:v>1883.9999999999995</c:v>
                </c:pt>
                <c:pt idx="580">
                  <c:v>1883.9999999999995</c:v>
                </c:pt>
                <c:pt idx="581">
                  <c:v>1883.9999999999995</c:v>
                </c:pt>
                <c:pt idx="582">
                  <c:v>1883.9999999999995</c:v>
                </c:pt>
                <c:pt idx="583">
                  <c:v>1883.9999999999995</c:v>
                </c:pt>
                <c:pt idx="584">
                  <c:v>1883.9999999999995</c:v>
                </c:pt>
                <c:pt idx="585">
                  <c:v>1883.9999999999995</c:v>
                </c:pt>
                <c:pt idx="586">
                  <c:v>1883.9999999999995</c:v>
                </c:pt>
                <c:pt idx="587">
                  <c:v>1883.9999999999995</c:v>
                </c:pt>
                <c:pt idx="588">
                  <c:v>1883.9999999999995</c:v>
                </c:pt>
                <c:pt idx="589">
                  <c:v>1883.9999999999995</c:v>
                </c:pt>
                <c:pt idx="590">
                  <c:v>1883.9999999999995</c:v>
                </c:pt>
                <c:pt idx="591">
                  <c:v>1883.9999999999995</c:v>
                </c:pt>
                <c:pt idx="592">
                  <c:v>1883.9999999999995</c:v>
                </c:pt>
                <c:pt idx="593">
                  <c:v>1883.9999999999995</c:v>
                </c:pt>
                <c:pt idx="594">
                  <c:v>1883.9999999999995</c:v>
                </c:pt>
                <c:pt idx="595">
                  <c:v>1883.9999999999995</c:v>
                </c:pt>
                <c:pt idx="596">
                  <c:v>1883.9999999999995</c:v>
                </c:pt>
                <c:pt idx="597">
                  <c:v>1883.9999999999995</c:v>
                </c:pt>
                <c:pt idx="598">
                  <c:v>1883.9999999999995</c:v>
                </c:pt>
                <c:pt idx="599">
                  <c:v>1883.9999999999995</c:v>
                </c:pt>
                <c:pt idx="600">
                  <c:v>1883.9999999999995</c:v>
                </c:pt>
                <c:pt idx="601">
                  <c:v>1883.9999999999995</c:v>
                </c:pt>
                <c:pt idx="602">
                  <c:v>1883.9999999999995</c:v>
                </c:pt>
                <c:pt idx="603">
                  <c:v>1883.9999999999995</c:v>
                </c:pt>
                <c:pt idx="604">
                  <c:v>1883.9999999999995</c:v>
                </c:pt>
                <c:pt idx="605">
                  <c:v>1883.9999999999995</c:v>
                </c:pt>
                <c:pt idx="606">
                  <c:v>1883.9999999999995</c:v>
                </c:pt>
                <c:pt idx="607">
                  <c:v>1883.9999999999995</c:v>
                </c:pt>
                <c:pt idx="608">
                  <c:v>1883.9999999999995</c:v>
                </c:pt>
                <c:pt idx="609">
                  <c:v>1883.9999999999995</c:v>
                </c:pt>
                <c:pt idx="610">
                  <c:v>1883.9999999999995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3.4</c:v>
                </c:pt>
                <c:pt idx="624">
                  <c:v>13.6</c:v>
                </c:pt>
                <c:pt idx="625">
                  <c:v>13.6</c:v>
                </c:pt>
                <c:pt idx="626">
                  <c:v>13.6</c:v>
                </c:pt>
                <c:pt idx="627">
                  <c:v>13.6</c:v>
                </c:pt>
                <c:pt idx="628">
                  <c:v>13.6</c:v>
                </c:pt>
                <c:pt idx="629">
                  <c:v>13.6</c:v>
                </c:pt>
                <c:pt idx="630">
                  <c:v>13.6</c:v>
                </c:pt>
                <c:pt idx="631">
                  <c:v>13.6</c:v>
                </c:pt>
                <c:pt idx="632">
                  <c:v>13.6</c:v>
                </c:pt>
                <c:pt idx="633">
                  <c:v>13.6</c:v>
                </c:pt>
                <c:pt idx="634">
                  <c:v>13.6</c:v>
                </c:pt>
                <c:pt idx="635">
                  <c:v>13.6</c:v>
                </c:pt>
                <c:pt idx="636">
                  <c:v>13.6</c:v>
                </c:pt>
                <c:pt idx="637">
                  <c:v>13.6</c:v>
                </c:pt>
                <c:pt idx="638">
                  <c:v>13.6</c:v>
                </c:pt>
                <c:pt idx="639">
                  <c:v>13.6</c:v>
                </c:pt>
                <c:pt idx="640">
                  <c:v>13.6</c:v>
                </c:pt>
                <c:pt idx="641">
                  <c:v>13.6</c:v>
                </c:pt>
                <c:pt idx="642">
                  <c:v>13.6</c:v>
                </c:pt>
                <c:pt idx="643">
                  <c:v>13.6</c:v>
                </c:pt>
                <c:pt idx="644">
                  <c:v>13.6</c:v>
                </c:pt>
                <c:pt idx="645">
                  <c:v>13.6</c:v>
                </c:pt>
                <c:pt idx="646">
                  <c:v>13.6</c:v>
                </c:pt>
                <c:pt idx="647">
                  <c:v>13.6</c:v>
                </c:pt>
                <c:pt idx="648">
                  <c:v>13.6</c:v>
                </c:pt>
                <c:pt idx="649">
                  <c:v>13.6</c:v>
                </c:pt>
                <c:pt idx="650">
                  <c:v>13.6</c:v>
                </c:pt>
                <c:pt idx="651">
                  <c:v>13.6</c:v>
                </c:pt>
                <c:pt idx="652">
                  <c:v>13.6</c:v>
                </c:pt>
                <c:pt idx="653">
                  <c:v>13.6</c:v>
                </c:pt>
                <c:pt idx="654">
                  <c:v>13.6</c:v>
                </c:pt>
                <c:pt idx="655">
                  <c:v>13.6</c:v>
                </c:pt>
                <c:pt idx="656">
                  <c:v>13.6</c:v>
                </c:pt>
                <c:pt idx="657">
                  <c:v>13.6</c:v>
                </c:pt>
                <c:pt idx="658">
                  <c:v>13.6</c:v>
                </c:pt>
                <c:pt idx="659">
                  <c:v>13.6</c:v>
                </c:pt>
                <c:pt idx="660">
                  <c:v>13.6</c:v>
                </c:pt>
                <c:pt idx="661">
                  <c:v>13.6</c:v>
                </c:pt>
                <c:pt idx="662">
                  <c:v>13.6</c:v>
                </c:pt>
                <c:pt idx="663">
                  <c:v>13.6</c:v>
                </c:pt>
                <c:pt idx="664">
                  <c:v>13.6</c:v>
                </c:pt>
                <c:pt idx="665">
                  <c:v>13.6</c:v>
                </c:pt>
                <c:pt idx="666">
                  <c:v>13.6</c:v>
                </c:pt>
                <c:pt idx="667">
                  <c:v>13.6</c:v>
                </c:pt>
                <c:pt idx="668">
                  <c:v>13.6</c:v>
                </c:pt>
                <c:pt idx="669">
                  <c:v>13.6</c:v>
                </c:pt>
                <c:pt idx="670">
                  <c:v>13.6</c:v>
                </c:pt>
                <c:pt idx="671">
                  <c:v>13.6</c:v>
                </c:pt>
                <c:pt idx="672">
                  <c:v>13.6</c:v>
                </c:pt>
                <c:pt idx="673">
                  <c:v>13.6</c:v>
                </c:pt>
                <c:pt idx="674">
                  <c:v>13.6</c:v>
                </c:pt>
                <c:pt idx="675">
                  <c:v>13.6</c:v>
                </c:pt>
                <c:pt idx="676">
                  <c:v>13.6</c:v>
                </c:pt>
                <c:pt idx="677">
                  <c:v>13.6</c:v>
                </c:pt>
                <c:pt idx="678">
                  <c:v>13.6</c:v>
                </c:pt>
                <c:pt idx="679">
                  <c:v>13.6</c:v>
                </c:pt>
                <c:pt idx="680">
                  <c:v>13.6</c:v>
                </c:pt>
                <c:pt idx="681">
                  <c:v>13.6</c:v>
                </c:pt>
                <c:pt idx="682">
                  <c:v>13.6</c:v>
                </c:pt>
                <c:pt idx="683">
                  <c:v>13.6</c:v>
                </c:pt>
                <c:pt idx="684">
                  <c:v>13.6</c:v>
                </c:pt>
                <c:pt idx="685">
                  <c:v>13.6</c:v>
                </c:pt>
                <c:pt idx="686">
                  <c:v>13.6</c:v>
                </c:pt>
                <c:pt idx="687">
                  <c:v>13.6</c:v>
                </c:pt>
                <c:pt idx="688">
                  <c:v>13.6</c:v>
                </c:pt>
                <c:pt idx="689">
                  <c:v>13.6</c:v>
                </c:pt>
                <c:pt idx="690">
                  <c:v>13.6</c:v>
                </c:pt>
                <c:pt idx="691">
                  <c:v>13.6</c:v>
                </c:pt>
                <c:pt idx="692">
                  <c:v>13.6</c:v>
                </c:pt>
                <c:pt idx="693">
                  <c:v>13.6</c:v>
                </c:pt>
                <c:pt idx="694">
                  <c:v>13.6</c:v>
                </c:pt>
                <c:pt idx="695">
                  <c:v>13.6</c:v>
                </c:pt>
                <c:pt idx="696">
                  <c:v>13.6</c:v>
                </c:pt>
                <c:pt idx="697">
                  <c:v>13.6</c:v>
                </c:pt>
                <c:pt idx="698">
                  <c:v>13.6</c:v>
                </c:pt>
                <c:pt idx="699">
                  <c:v>13.6</c:v>
                </c:pt>
                <c:pt idx="700">
                  <c:v>13.6</c:v>
                </c:pt>
                <c:pt idx="701">
                  <c:v>13.6</c:v>
                </c:pt>
                <c:pt idx="702">
                  <c:v>13.6</c:v>
                </c:pt>
                <c:pt idx="703">
                  <c:v>13.6</c:v>
                </c:pt>
                <c:pt idx="704">
                  <c:v>13.6</c:v>
                </c:pt>
                <c:pt idx="705">
                  <c:v>13.6</c:v>
                </c:pt>
                <c:pt idx="706">
                  <c:v>13.6</c:v>
                </c:pt>
                <c:pt idx="707">
                  <c:v>13.6</c:v>
                </c:pt>
                <c:pt idx="708">
                  <c:v>13.6</c:v>
                </c:pt>
                <c:pt idx="709">
                  <c:v>13.6</c:v>
                </c:pt>
                <c:pt idx="710">
                  <c:v>13.6</c:v>
                </c:pt>
                <c:pt idx="711">
                  <c:v>13.6</c:v>
                </c:pt>
                <c:pt idx="712">
                  <c:v>13.6</c:v>
                </c:pt>
                <c:pt idx="713">
                  <c:v>13.6</c:v>
                </c:pt>
                <c:pt idx="714">
                  <c:v>13.6</c:v>
                </c:pt>
                <c:pt idx="715">
                  <c:v>13.6</c:v>
                </c:pt>
                <c:pt idx="716">
                  <c:v>13.6</c:v>
                </c:pt>
                <c:pt idx="717">
                  <c:v>13.6</c:v>
                </c:pt>
                <c:pt idx="718">
                  <c:v>13.6</c:v>
                </c:pt>
                <c:pt idx="719">
                  <c:v>13.6</c:v>
                </c:pt>
                <c:pt idx="720">
                  <c:v>13.6</c:v>
                </c:pt>
                <c:pt idx="721">
                  <c:v>13.6</c:v>
                </c:pt>
                <c:pt idx="722">
                  <c:v>13.6</c:v>
                </c:pt>
                <c:pt idx="723">
                  <c:v>13.6</c:v>
                </c:pt>
                <c:pt idx="724">
                  <c:v>13.6</c:v>
                </c:pt>
                <c:pt idx="725">
                  <c:v>13.6</c:v>
                </c:pt>
                <c:pt idx="726">
                  <c:v>13.6</c:v>
                </c:pt>
                <c:pt idx="727">
                  <c:v>13.6</c:v>
                </c:pt>
                <c:pt idx="728">
                  <c:v>13.6</c:v>
                </c:pt>
                <c:pt idx="729">
                  <c:v>13.6</c:v>
                </c:pt>
                <c:pt idx="730">
                  <c:v>13.6</c:v>
                </c:pt>
                <c:pt idx="731">
                  <c:v>13.6</c:v>
                </c:pt>
                <c:pt idx="732">
                  <c:v>13.6</c:v>
                </c:pt>
                <c:pt idx="733">
                  <c:v>13.6</c:v>
                </c:pt>
                <c:pt idx="734">
                  <c:v>13.6</c:v>
                </c:pt>
                <c:pt idx="735">
                  <c:v>13.6</c:v>
                </c:pt>
                <c:pt idx="736">
                  <c:v>13.6</c:v>
                </c:pt>
                <c:pt idx="737">
                  <c:v>13.6</c:v>
                </c:pt>
                <c:pt idx="738">
                  <c:v>13.6</c:v>
                </c:pt>
                <c:pt idx="739">
                  <c:v>13.6</c:v>
                </c:pt>
                <c:pt idx="740">
                  <c:v>13.6</c:v>
                </c:pt>
                <c:pt idx="741">
                  <c:v>13.6</c:v>
                </c:pt>
                <c:pt idx="742">
                  <c:v>13.6</c:v>
                </c:pt>
                <c:pt idx="743">
                  <c:v>13.6</c:v>
                </c:pt>
                <c:pt idx="744">
                  <c:v>13.6</c:v>
                </c:pt>
                <c:pt idx="745">
                  <c:v>13.6</c:v>
                </c:pt>
                <c:pt idx="746">
                  <c:v>13.6</c:v>
                </c:pt>
                <c:pt idx="747">
                  <c:v>13.6</c:v>
                </c:pt>
                <c:pt idx="748">
                  <c:v>13.6</c:v>
                </c:pt>
                <c:pt idx="749">
                  <c:v>13.6</c:v>
                </c:pt>
                <c:pt idx="750">
                  <c:v>13.6</c:v>
                </c:pt>
                <c:pt idx="751">
                  <c:v>13.6</c:v>
                </c:pt>
                <c:pt idx="752">
                  <c:v>13.6</c:v>
                </c:pt>
                <c:pt idx="753">
                  <c:v>13.6</c:v>
                </c:pt>
                <c:pt idx="754">
                  <c:v>13.6</c:v>
                </c:pt>
                <c:pt idx="755">
                  <c:v>13.6</c:v>
                </c:pt>
                <c:pt idx="756">
                  <c:v>13.6</c:v>
                </c:pt>
                <c:pt idx="757">
                  <c:v>13.6</c:v>
                </c:pt>
                <c:pt idx="758">
                  <c:v>13.6</c:v>
                </c:pt>
                <c:pt idx="759">
                  <c:v>13.6</c:v>
                </c:pt>
                <c:pt idx="760">
                  <c:v>13.6</c:v>
                </c:pt>
                <c:pt idx="761">
                  <c:v>13.6</c:v>
                </c:pt>
                <c:pt idx="762">
                  <c:v>25.6</c:v>
                </c:pt>
                <c:pt idx="763">
                  <c:v>30.1</c:v>
                </c:pt>
                <c:pt idx="764">
                  <c:v>30.1</c:v>
                </c:pt>
                <c:pt idx="765">
                  <c:v>30.1</c:v>
                </c:pt>
                <c:pt idx="766">
                  <c:v>30.1</c:v>
                </c:pt>
                <c:pt idx="767">
                  <c:v>40.6</c:v>
                </c:pt>
                <c:pt idx="768">
                  <c:v>57.1</c:v>
                </c:pt>
                <c:pt idx="769">
                  <c:v>77.599999999999994</c:v>
                </c:pt>
                <c:pt idx="770">
                  <c:v>91.199999999999989</c:v>
                </c:pt>
                <c:pt idx="771">
                  <c:v>101.19999999999999</c:v>
                </c:pt>
                <c:pt idx="772">
                  <c:v>117.69999999999999</c:v>
                </c:pt>
                <c:pt idx="773">
                  <c:v>127.69999999999999</c:v>
                </c:pt>
                <c:pt idx="774">
                  <c:v>127.69999999999999</c:v>
                </c:pt>
                <c:pt idx="775">
                  <c:v>144.1</c:v>
                </c:pt>
                <c:pt idx="776">
                  <c:v>164.6</c:v>
                </c:pt>
                <c:pt idx="777">
                  <c:v>164.6</c:v>
                </c:pt>
                <c:pt idx="778">
                  <c:v>164.6</c:v>
                </c:pt>
                <c:pt idx="779">
                  <c:v>164.6</c:v>
                </c:pt>
                <c:pt idx="780">
                  <c:v>189.6</c:v>
                </c:pt>
                <c:pt idx="781">
                  <c:v>208.1</c:v>
                </c:pt>
                <c:pt idx="782">
                  <c:v>218.1</c:v>
                </c:pt>
                <c:pt idx="783">
                  <c:v>218.1</c:v>
                </c:pt>
                <c:pt idx="784">
                  <c:v>218.1</c:v>
                </c:pt>
                <c:pt idx="785">
                  <c:v>218.1</c:v>
                </c:pt>
                <c:pt idx="786">
                  <c:v>238.6</c:v>
                </c:pt>
                <c:pt idx="787">
                  <c:v>255</c:v>
                </c:pt>
                <c:pt idx="788">
                  <c:v>273.60000000000002</c:v>
                </c:pt>
                <c:pt idx="789">
                  <c:v>298.60000000000002</c:v>
                </c:pt>
                <c:pt idx="790">
                  <c:v>308.8</c:v>
                </c:pt>
                <c:pt idx="791">
                  <c:v>322.3</c:v>
                </c:pt>
                <c:pt idx="792">
                  <c:v>332.90000000000003</c:v>
                </c:pt>
                <c:pt idx="793">
                  <c:v>338.90000000000003</c:v>
                </c:pt>
                <c:pt idx="794">
                  <c:v>355.1</c:v>
                </c:pt>
                <c:pt idx="795">
                  <c:v>360.1</c:v>
                </c:pt>
                <c:pt idx="796">
                  <c:v>360.1</c:v>
                </c:pt>
                <c:pt idx="797">
                  <c:v>360.1</c:v>
                </c:pt>
                <c:pt idx="798">
                  <c:v>360.1</c:v>
                </c:pt>
                <c:pt idx="799">
                  <c:v>370.5</c:v>
                </c:pt>
                <c:pt idx="800">
                  <c:v>391.1</c:v>
                </c:pt>
                <c:pt idx="801">
                  <c:v>402.6</c:v>
                </c:pt>
                <c:pt idx="802">
                  <c:v>418.90000000000003</c:v>
                </c:pt>
                <c:pt idx="803">
                  <c:v>422.50000000000006</c:v>
                </c:pt>
                <c:pt idx="804">
                  <c:v>422.50000000000006</c:v>
                </c:pt>
                <c:pt idx="805">
                  <c:v>422.50000000000006</c:v>
                </c:pt>
                <c:pt idx="806">
                  <c:v>434.90000000000003</c:v>
                </c:pt>
                <c:pt idx="807">
                  <c:v>434.90000000000003</c:v>
                </c:pt>
                <c:pt idx="808">
                  <c:v>434.90000000000003</c:v>
                </c:pt>
                <c:pt idx="809">
                  <c:v>434.90000000000003</c:v>
                </c:pt>
                <c:pt idx="810">
                  <c:v>452.50000000000006</c:v>
                </c:pt>
                <c:pt idx="811">
                  <c:v>473.90000000000003</c:v>
                </c:pt>
                <c:pt idx="812">
                  <c:v>484.40000000000003</c:v>
                </c:pt>
                <c:pt idx="813">
                  <c:v>490.40000000000003</c:v>
                </c:pt>
                <c:pt idx="814">
                  <c:v>490.40000000000003</c:v>
                </c:pt>
                <c:pt idx="815">
                  <c:v>506.6</c:v>
                </c:pt>
                <c:pt idx="816">
                  <c:v>528</c:v>
                </c:pt>
                <c:pt idx="817">
                  <c:v>528</c:v>
                </c:pt>
                <c:pt idx="818">
                  <c:v>528</c:v>
                </c:pt>
                <c:pt idx="819">
                  <c:v>528</c:v>
                </c:pt>
                <c:pt idx="820">
                  <c:v>538.5</c:v>
                </c:pt>
                <c:pt idx="821">
                  <c:v>556.1</c:v>
                </c:pt>
                <c:pt idx="822">
                  <c:v>580.4</c:v>
                </c:pt>
                <c:pt idx="823">
                  <c:v>600.79999999999995</c:v>
                </c:pt>
                <c:pt idx="824">
                  <c:v>603.4</c:v>
                </c:pt>
                <c:pt idx="825">
                  <c:v>610.9</c:v>
                </c:pt>
                <c:pt idx="826">
                  <c:v>628.9</c:v>
                </c:pt>
                <c:pt idx="827">
                  <c:v>648.9</c:v>
                </c:pt>
                <c:pt idx="828">
                  <c:v>666.3</c:v>
                </c:pt>
                <c:pt idx="829">
                  <c:v>672.8</c:v>
                </c:pt>
                <c:pt idx="830">
                  <c:v>692.8</c:v>
                </c:pt>
                <c:pt idx="831">
                  <c:v>699.19999999999993</c:v>
                </c:pt>
                <c:pt idx="832">
                  <c:v>709.59999999999991</c:v>
                </c:pt>
                <c:pt idx="833">
                  <c:v>729.69999999999993</c:v>
                </c:pt>
                <c:pt idx="834">
                  <c:v>746.09999999999991</c:v>
                </c:pt>
                <c:pt idx="835">
                  <c:v>757.3</c:v>
                </c:pt>
                <c:pt idx="836">
                  <c:v>757.3</c:v>
                </c:pt>
                <c:pt idx="837">
                  <c:v>757.3</c:v>
                </c:pt>
                <c:pt idx="838">
                  <c:v>763.4</c:v>
                </c:pt>
                <c:pt idx="839">
                  <c:v>763.4</c:v>
                </c:pt>
                <c:pt idx="840">
                  <c:v>763.4</c:v>
                </c:pt>
                <c:pt idx="841">
                  <c:v>763.4</c:v>
                </c:pt>
                <c:pt idx="842">
                  <c:v>763.4</c:v>
                </c:pt>
                <c:pt idx="843">
                  <c:v>763.4</c:v>
                </c:pt>
                <c:pt idx="844">
                  <c:v>763.4</c:v>
                </c:pt>
                <c:pt idx="845">
                  <c:v>763.4</c:v>
                </c:pt>
                <c:pt idx="846">
                  <c:v>763.4</c:v>
                </c:pt>
                <c:pt idx="847">
                  <c:v>763.4</c:v>
                </c:pt>
                <c:pt idx="848">
                  <c:v>773.6</c:v>
                </c:pt>
                <c:pt idx="849">
                  <c:v>784.6</c:v>
                </c:pt>
                <c:pt idx="850">
                  <c:v>784.6</c:v>
                </c:pt>
                <c:pt idx="851">
                  <c:v>784.6</c:v>
                </c:pt>
                <c:pt idx="852">
                  <c:v>791.30000000000007</c:v>
                </c:pt>
                <c:pt idx="853">
                  <c:v>801.50000000000011</c:v>
                </c:pt>
                <c:pt idx="854">
                  <c:v>827.50000000000011</c:v>
                </c:pt>
                <c:pt idx="855">
                  <c:v>837.90000000000009</c:v>
                </c:pt>
                <c:pt idx="856">
                  <c:v>844.90000000000009</c:v>
                </c:pt>
                <c:pt idx="857">
                  <c:v>855.50000000000011</c:v>
                </c:pt>
                <c:pt idx="858">
                  <c:v>855.50000000000011</c:v>
                </c:pt>
                <c:pt idx="859">
                  <c:v>855.50000000000011</c:v>
                </c:pt>
                <c:pt idx="860">
                  <c:v>855.50000000000011</c:v>
                </c:pt>
                <c:pt idx="861">
                  <c:v>871.70000000000016</c:v>
                </c:pt>
                <c:pt idx="862">
                  <c:v>883.10000000000014</c:v>
                </c:pt>
                <c:pt idx="863">
                  <c:v>883.10000000000014</c:v>
                </c:pt>
                <c:pt idx="864">
                  <c:v>883.10000000000014</c:v>
                </c:pt>
                <c:pt idx="865">
                  <c:v>907.40000000000009</c:v>
                </c:pt>
                <c:pt idx="866">
                  <c:v>918.00000000000011</c:v>
                </c:pt>
                <c:pt idx="867">
                  <c:v>922.30000000000007</c:v>
                </c:pt>
                <c:pt idx="868">
                  <c:v>948.30000000000007</c:v>
                </c:pt>
                <c:pt idx="869">
                  <c:v>960.40000000000009</c:v>
                </c:pt>
                <c:pt idx="870">
                  <c:v>968.60000000000014</c:v>
                </c:pt>
                <c:pt idx="871">
                  <c:v>968.60000000000014</c:v>
                </c:pt>
                <c:pt idx="872">
                  <c:v>968.60000000000014</c:v>
                </c:pt>
                <c:pt idx="873">
                  <c:v>994.60000000000014</c:v>
                </c:pt>
                <c:pt idx="874">
                  <c:v>1018.0000000000001</c:v>
                </c:pt>
                <c:pt idx="875">
                  <c:v>1029.6000000000001</c:v>
                </c:pt>
                <c:pt idx="876">
                  <c:v>1052.0000000000002</c:v>
                </c:pt>
                <c:pt idx="877">
                  <c:v>1062.0000000000002</c:v>
                </c:pt>
                <c:pt idx="878">
                  <c:v>1073.3000000000002</c:v>
                </c:pt>
                <c:pt idx="879">
                  <c:v>1073.3000000000002</c:v>
                </c:pt>
                <c:pt idx="880">
                  <c:v>1073.3000000000002</c:v>
                </c:pt>
                <c:pt idx="881">
                  <c:v>1087.8000000000002</c:v>
                </c:pt>
                <c:pt idx="882">
                  <c:v>1107.8000000000002</c:v>
                </c:pt>
                <c:pt idx="883">
                  <c:v>1121.4000000000001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9-441A-9C60-7AD21E0C4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29568"/>
        <c:axId val="91577344"/>
      </c:lineChart>
      <c:dateAx>
        <c:axId val="58150272"/>
        <c:scaling>
          <c:orientation val="minMax"/>
          <c:min val="41640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75040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9157504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8150272"/>
        <c:crosses val="autoZero"/>
        <c:crossBetween val="between"/>
        <c:majorUnit val="40"/>
      </c:valAx>
      <c:valAx>
        <c:axId val="91577344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03629568"/>
        <c:crosses val="max"/>
        <c:crossBetween val="between"/>
        <c:majorUnit val="600"/>
      </c:valAx>
      <c:catAx>
        <c:axId val="103629568"/>
        <c:scaling>
          <c:orientation val="minMax"/>
        </c:scaling>
        <c:delete val="1"/>
        <c:axPos val="b"/>
        <c:majorTickMark val="out"/>
        <c:minorTickMark val="none"/>
        <c:tickLblPos val="nextTo"/>
        <c:crossAx val="9157734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5.4070586774550698E-2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03097248082732E-2"/>
          <c:y val="0.15325240594925635"/>
          <c:w val="0.8701568875383171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'Rainfall Totals'!$F$20:$F$111</c:f>
              <c:numCache>
                <c:formatCode>mmm\-yy</c:formatCode>
                <c:ptCount val="9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</c:numCache>
            </c:numRef>
          </c:cat>
          <c:val>
            <c:numRef>
              <c:f>'Rainfall Totals'!$G$20:$G$111</c:f>
              <c:numCache>
                <c:formatCode>0.0</c:formatCode>
                <c:ptCount val="92"/>
                <c:pt idx="4">
                  <c:v>123.6</c:v>
                </c:pt>
                <c:pt idx="5">
                  <c:v>303</c:v>
                </c:pt>
                <c:pt idx="6">
                  <c:v>305</c:v>
                </c:pt>
                <c:pt idx="7">
                  <c:v>411.5</c:v>
                </c:pt>
                <c:pt idx="8">
                  <c:v>298</c:v>
                </c:pt>
                <c:pt idx="9">
                  <c:v>217</c:v>
                </c:pt>
                <c:pt idx="10">
                  <c:v>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8.5</c:v>
                </c:pt>
                <c:pt idx="15">
                  <c:v>33.9</c:v>
                </c:pt>
                <c:pt idx="16">
                  <c:v>234.7</c:v>
                </c:pt>
                <c:pt idx="17">
                  <c:v>305.89999999999998</c:v>
                </c:pt>
                <c:pt idx="18">
                  <c:v>4.5</c:v>
                </c:pt>
                <c:pt idx="19">
                  <c:v>372.90000000000003</c:v>
                </c:pt>
                <c:pt idx="20">
                  <c:v>382.80000000000007</c:v>
                </c:pt>
                <c:pt idx="21">
                  <c:v>397.39999999999992</c:v>
                </c:pt>
                <c:pt idx="22">
                  <c:v>143.4</c:v>
                </c:pt>
                <c:pt idx="23">
                  <c:v>0</c:v>
                </c:pt>
                <c:pt idx="24">
                  <c:v>13.6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12</c:v>
                </c:pt>
                <c:pt idx="29">
                  <c:v>307.3</c:v>
                </c:pt>
                <c:pt idx="30">
                  <c:v>267.89999999999998</c:v>
                </c:pt>
                <c:pt idx="31">
                  <c:v>226.69999999999996</c:v>
                </c:pt>
                <c:pt idx="32">
                  <c:v>293.90000000000003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5-4463-9CCA-5E5F93B4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0855552"/>
        <c:axId val="140857344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Totals'!$H$20:$H$111</c:f>
              <c:numCache>
                <c:formatCode>0</c:formatCode>
                <c:ptCount val="92"/>
                <c:pt idx="4" formatCode="0.0">
                  <c:v>123.6</c:v>
                </c:pt>
                <c:pt idx="5" formatCode="0.0">
                  <c:v>426.6</c:v>
                </c:pt>
                <c:pt idx="6" formatCode="0.0">
                  <c:v>731.6</c:v>
                </c:pt>
                <c:pt idx="7" formatCode="0.0">
                  <c:v>1143.0999999999999</c:v>
                </c:pt>
                <c:pt idx="8" formatCode="0.0">
                  <c:v>1441.1</c:v>
                </c:pt>
                <c:pt idx="9" formatCode="0.0">
                  <c:v>1658.1</c:v>
                </c:pt>
                <c:pt idx="10" formatCode="0.0">
                  <c:v>1732.1</c:v>
                </c:pt>
                <c:pt idx="11" formatCode="0.0">
                  <c:v>1732.1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8.5</c:v>
                </c:pt>
                <c:pt idx="15" formatCode="0.0">
                  <c:v>42.4</c:v>
                </c:pt>
                <c:pt idx="16" formatCode="0.0">
                  <c:v>277.09999999999997</c:v>
                </c:pt>
                <c:pt idx="17" formatCode="0.0">
                  <c:v>583</c:v>
                </c:pt>
                <c:pt idx="18" formatCode="0.0">
                  <c:v>587.5</c:v>
                </c:pt>
                <c:pt idx="19" formatCode="0.0">
                  <c:v>960.40000000000009</c:v>
                </c:pt>
                <c:pt idx="20" formatCode="0.0">
                  <c:v>1343.2000000000003</c:v>
                </c:pt>
                <c:pt idx="21" formatCode="0.0">
                  <c:v>1740.6000000000001</c:v>
                </c:pt>
                <c:pt idx="22" formatCode="0.0">
                  <c:v>1884.0000000000002</c:v>
                </c:pt>
                <c:pt idx="23" formatCode="0.0">
                  <c:v>1884.0000000000002</c:v>
                </c:pt>
                <c:pt idx="24" formatCode="0.0">
                  <c:v>13.6</c:v>
                </c:pt>
                <c:pt idx="25" formatCode="0.0">
                  <c:v>13.6</c:v>
                </c:pt>
                <c:pt idx="26" formatCode="0.0">
                  <c:v>13.6</c:v>
                </c:pt>
                <c:pt idx="27" formatCode="0.0">
                  <c:v>13.6</c:v>
                </c:pt>
                <c:pt idx="28" formatCode="0.0">
                  <c:v>25.6</c:v>
                </c:pt>
                <c:pt idx="29" formatCode="0.0">
                  <c:v>332.90000000000003</c:v>
                </c:pt>
                <c:pt idx="30" formatCode="0.0">
                  <c:v>600.79999999999995</c:v>
                </c:pt>
                <c:pt idx="31" formatCode="0.0">
                  <c:v>827.49999999999989</c:v>
                </c:pt>
                <c:pt idx="32" formatCode="0.0">
                  <c:v>1121.3999999999999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5-4463-9CCA-5E5F93B4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74496"/>
        <c:axId val="140868224"/>
      </c:lineChart>
      <c:dateAx>
        <c:axId val="14085555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40857344"/>
        <c:crosses val="autoZero"/>
        <c:auto val="1"/>
        <c:lblOffset val="100"/>
        <c:baseTimeUnit val="months"/>
        <c:majorUnit val="3"/>
        <c:majorTimeUnit val="months"/>
      </c:dateAx>
      <c:valAx>
        <c:axId val="14085734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40855552"/>
        <c:crosses val="autoZero"/>
        <c:crossBetween val="between"/>
      </c:valAx>
      <c:valAx>
        <c:axId val="140868224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40874496"/>
        <c:crosses val="max"/>
        <c:crossBetween val="between"/>
        <c:majorUnit val="800"/>
        <c:minorUnit val="100"/>
      </c:valAx>
      <c:catAx>
        <c:axId val="14087449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0868224"/>
        <c:crosses val="autoZero"/>
        <c:auto val="1"/>
        <c:lblAlgn val="ctr"/>
        <c:lblOffset val="100"/>
        <c:noMultiLvlLbl val="1"/>
      </c:cat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32841644794400698"/>
          <c:h val="0.1674343832020997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16</xdr:row>
      <xdr:rowOff>57150</xdr:rowOff>
    </xdr:from>
    <xdr:to>
      <xdr:col>12</xdr:col>
      <xdr:colOff>390525</xdr:colOff>
      <xdr:row>27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314324</xdr:colOff>
      <xdr:row>2</xdr:row>
      <xdr:rowOff>0</xdr:rowOff>
    </xdr:from>
    <xdr:to>
      <xdr:col>12</xdr:col>
      <xdr:colOff>371475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2"/>
  <sheetViews>
    <sheetView workbookViewId="0"/>
  </sheetViews>
  <sheetFormatPr defaultColWidth="9.109375" defaultRowHeight="12" x14ac:dyDescent="0.25"/>
  <cols>
    <col min="1" max="1" width="19.5546875" style="33" customWidth="1"/>
    <col min="2" max="2" width="18.6640625" style="33" customWidth="1"/>
    <col min="3" max="3" width="12.6640625" style="33" customWidth="1"/>
    <col min="4" max="4" width="9.109375" style="33"/>
    <col min="5" max="16384" width="9.109375" style="5"/>
  </cols>
  <sheetData>
    <row r="1" spans="1:3" x14ac:dyDescent="0.25">
      <c r="A1" s="27" t="s">
        <v>20</v>
      </c>
      <c r="B1" s="28" t="s">
        <v>18</v>
      </c>
    </row>
    <row r="2" spans="1:3" x14ac:dyDescent="0.25">
      <c r="A2" s="27" t="s">
        <v>21</v>
      </c>
      <c r="B2" s="28" t="s">
        <v>19</v>
      </c>
    </row>
    <row r="3" spans="1:3" x14ac:dyDescent="0.25">
      <c r="A3" s="27" t="s">
        <v>36</v>
      </c>
      <c r="B3" s="37">
        <v>9.4029000000000007</v>
      </c>
    </row>
    <row r="4" spans="1:3" x14ac:dyDescent="0.25">
      <c r="A4" s="27" t="s">
        <v>37</v>
      </c>
      <c r="B4" s="37">
        <v>-11.77276</v>
      </c>
    </row>
    <row r="5" spans="1:3" x14ac:dyDescent="0.25">
      <c r="A5" s="27" t="s">
        <v>38</v>
      </c>
      <c r="B5" s="38">
        <v>302</v>
      </c>
      <c r="C5" s="33" t="s">
        <v>39</v>
      </c>
    </row>
    <row r="6" spans="1:3" x14ac:dyDescent="0.25">
      <c r="A6" s="27" t="s">
        <v>22</v>
      </c>
      <c r="B6" s="28" t="s">
        <v>35</v>
      </c>
    </row>
    <row r="7" spans="1:3" x14ac:dyDescent="0.25">
      <c r="A7" s="27" t="s">
        <v>40</v>
      </c>
      <c r="B7" s="27" t="s">
        <v>41</v>
      </c>
    </row>
    <row r="8" spans="1:3" x14ac:dyDescent="0.25">
      <c r="A8" s="27" t="s">
        <v>23</v>
      </c>
      <c r="B8" s="27" t="s">
        <v>24</v>
      </c>
    </row>
    <row r="9" spans="1:3" x14ac:dyDescent="0.25">
      <c r="A9" s="27" t="s">
        <v>25</v>
      </c>
      <c r="B9" s="27" t="s">
        <v>26</v>
      </c>
    </row>
    <row r="10" spans="1:3" x14ac:dyDescent="0.25">
      <c r="A10" s="27" t="s">
        <v>27</v>
      </c>
      <c r="B10" s="27" t="s">
        <v>28</v>
      </c>
    </row>
    <row r="11" spans="1:3" x14ac:dyDescent="0.25">
      <c r="A11" s="27" t="s">
        <v>29</v>
      </c>
      <c r="B11" s="29" t="s">
        <v>30</v>
      </c>
    </row>
    <row r="12" spans="1:3" x14ac:dyDescent="0.25">
      <c r="A12" s="27" t="s">
        <v>31</v>
      </c>
      <c r="B12" s="30">
        <f>+MIN(A:A)-1</f>
        <v>41759.375</v>
      </c>
    </row>
    <row r="13" spans="1:3" x14ac:dyDescent="0.25">
      <c r="A13" s="27" t="s">
        <v>32</v>
      </c>
      <c r="B13" s="30">
        <f>+MAX(A:A)-1</f>
        <v>42642.375</v>
      </c>
    </row>
    <row r="14" spans="1:3" x14ac:dyDescent="0.25">
      <c r="A14" s="27" t="s">
        <v>33</v>
      </c>
      <c r="B14" s="27">
        <f>+COUNT(A:A)</f>
        <v>884</v>
      </c>
    </row>
    <row r="15" spans="1:3" x14ac:dyDescent="0.25">
      <c r="A15" s="27" t="s">
        <v>34</v>
      </c>
      <c r="B15" s="27" t="s">
        <v>11</v>
      </c>
    </row>
    <row r="17" spans="1:4" s="6" customFormat="1" ht="28.5" customHeight="1" x14ac:dyDescent="0.3">
      <c r="A17" s="32" t="s">
        <v>2</v>
      </c>
      <c r="B17" s="32" t="s">
        <v>3</v>
      </c>
      <c r="C17" s="32" t="s">
        <v>12</v>
      </c>
      <c r="D17" s="32"/>
    </row>
    <row r="18" spans="1:4" s="6" customFormat="1" x14ac:dyDescent="0.3">
      <c r="A18" s="32"/>
      <c r="B18" s="32"/>
      <c r="C18" s="32" t="s">
        <v>4</v>
      </c>
      <c r="D18" s="32"/>
    </row>
    <row r="19" spans="1:4" x14ac:dyDescent="0.25">
      <c r="A19" s="34">
        <v>41760.375</v>
      </c>
      <c r="B19" s="35">
        <v>41759</v>
      </c>
      <c r="C19" s="36">
        <v>0</v>
      </c>
    </row>
    <row r="20" spans="1:4" x14ac:dyDescent="0.25">
      <c r="A20" s="34">
        <v>41761.375</v>
      </c>
      <c r="B20" s="35">
        <v>41760</v>
      </c>
      <c r="C20" s="36">
        <v>0</v>
      </c>
    </row>
    <row r="21" spans="1:4" x14ac:dyDescent="0.25">
      <c r="A21" s="34">
        <v>41762.375</v>
      </c>
      <c r="B21" s="35">
        <v>41761</v>
      </c>
      <c r="C21" s="36">
        <v>0</v>
      </c>
    </row>
    <row r="22" spans="1:4" x14ac:dyDescent="0.25">
      <c r="A22" s="34">
        <v>41763.375</v>
      </c>
      <c r="B22" s="35">
        <v>41762</v>
      </c>
      <c r="C22" s="36">
        <v>0</v>
      </c>
    </row>
    <row r="23" spans="1:4" x14ac:dyDescent="0.25">
      <c r="A23" s="34">
        <v>41764.375</v>
      </c>
      <c r="B23" s="35">
        <v>41763</v>
      </c>
      <c r="C23" s="36">
        <v>0</v>
      </c>
    </row>
    <row r="24" spans="1:4" x14ac:dyDescent="0.25">
      <c r="A24" s="34">
        <v>41765.375</v>
      </c>
      <c r="B24" s="35">
        <v>41764</v>
      </c>
      <c r="C24" s="36">
        <v>0</v>
      </c>
    </row>
    <row r="25" spans="1:4" x14ac:dyDescent="0.25">
      <c r="A25" s="34">
        <v>41766.375</v>
      </c>
      <c r="B25" s="35">
        <v>41765</v>
      </c>
      <c r="C25" s="36">
        <v>0</v>
      </c>
    </row>
    <row r="26" spans="1:4" x14ac:dyDescent="0.25">
      <c r="A26" s="34">
        <v>41767.375</v>
      </c>
      <c r="B26" s="35">
        <v>41766</v>
      </c>
      <c r="C26" s="36">
        <v>0</v>
      </c>
    </row>
    <row r="27" spans="1:4" x14ac:dyDescent="0.25">
      <c r="A27" s="34">
        <v>41768.375</v>
      </c>
      <c r="B27" s="35">
        <v>41767</v>
      </c>
      <c r="C27" s="36">
        <v>0</v>
      </c>
    </row>
    <row r="28" spans="1:4" x14ac:dyDescent="0.25">
      <c r="A28" s="34">
        <v>41769.375</v>
      </c>
      <c r="B28" s="35">
        <v>41768</v>
      </c>
      <c r="C28" s="36">
        <v>0</v>
      </c>
    </row>
    <row r="29" spans="1:4" x14ac:dyDescent="0.25">
      <c r="A29" s="34">
        <v>41770.375</v>
      </c>
      <c r="B29" s="35">
        <v>41769</v>
      </c>
      <c r="C29" s="36">
        <v>0</v>
      </c>
    </row>
    <row r="30" spans="1:4" x14ac:dyDescent="0.25">
      <c r="A30" s="34">
        <v>41771.375</v>
      </c>
      <c r="B30" s="35">
        <v>41770</v>
      </c>
      <c r="C30" s="36">
        <v>0</v>
      </c>
    </row>
    <row r="31" spans="1:4" x14ac:dyDescent="0.25">
      <c r="A31" s="34">
        <v>41772.375</v>
      </c>
      <c r="B31" s="35">
        <v>41771</v>
      </c>
      <c r="C31" s="36">
        <v>0</v>
      </c>
    </row>
    <row r="32" spans="1:4" x14ac:dyDescent="0.25">
      <c r="A32" s="34">
        <v>41773.375</v>
      </c>
      <c r="B32" s="35">
        <v>41772</v>
      </c>
      <c r="C32" s="36">
        <v>0</v>
      </c>
    </row>
    <row r="33" spans="1:3" x14ac:dyDescent="0.25">
      <c r="A33" s="34">
        <v>41774.375</v>
      </c>
      <c r="B33" s="35">
        <v>41773</v>
      </c>
      <c r="C33" s="36">
        <v>0</v>
      </c>
    </row>
    <row r="34" spans="1:3" x14ac:dyDescent="0.25">
      <c r="A34" s="34">
        <v>41775.375</v>
      </c>
      <c r="B34" s="35">
        <v>41774</v>
      </c>
      <c r="C34" s="36">
        <v>0</v>
      </c>
    </row>
    <row r="35" spans="1:3" x14ac:dyDescent="0.25">
      <c r="A35" s="34">
        <v>41776.375</v>
      </c>
      <c r="B35" s="35">
        <v>41775</v>
      </c>
      <c r="C35" s="36">
        <v>25</v>
      </c>
    </row>
    <row r="36" spans="1:3" x14ac:dyDescent="0.25">
      <c r="A36" s="34">
        <v>41777.375</v>
      </c>
      <c r="B36" s="35">
        <v>41776</v>
      </c>
      <c r="C36" s="36">
        <v>31.5</v>
      </c>
    </row>
    <row r="37" spans="1:3" x14ac:dyDescent="0.25">
      <c r="A37" s="34">
        <v>41778.375</v>
      </c>
      <c r="B37" s="35">
        <v>41777</v>
      </c>
      <c r="C37" s="36">
        <v>0</v>
      </c>
    </row>
    <row r="38" spans="1:3" x14ac:dyDescent="0.25">
      <c r="A38" s="34">
        <v>41779.375</v>
      </c>
      <c r="B38" s="35">
        <v>41778</v>
      </c>
      <c r="C38" s="36">
        <v>0</v>
      </c>
    </row>
    <row r="39" spans="1:3" x14ac:dyDescent="0.25">
      <c r="A39" s="34">
        <v>41780.375</v>
      </c>
      <c r="B39" s="35">
        <v>41779</v>
      </c>
      <c r="C39" s="36">
        <v>12</v>
      </c>
    </row>
    <row r="40" spans="1:3" x14ac:dyDescent="0.25">
      <c r="A40" s="34">
        <v>41781.375</v>
      </c>
      <c r="B40" s="35">
        <v>41780</v>
      </c>
      <c r="C40" s="36">
        <v>0</v>
      </c>
    </row>
    <row r="41" spans="1:3" x14ac:dyDescent="0.25">
      <c r="A41" s="34">
        <v>41782.375</v>
      </c>
      <c r="B41" s="35">
        <v>41781</v>
      </c>
      <c r="C41" s="36">
        <v>23</v>
      </c>
    </row>
    <row r="42" spans="1:3" x14ac:dyDescent="0.25">
      <c r="A42" s="34">
        <v>41783.375</v>
      </c>
      <c r="B42" s="35">
        <v>41782</v>
      </c>
      <c r="C42" s="36">
        <v>12.5</v>
      </c>
    </row>
    <row r="43" spans="1:3" x14ac:dyDescent="0.25">
      <c r="A43" s="34">
        <v>41784.375</v>
      </c>
      <c r="B43" s="35">
        <v>41783</v>
      </c>
      <c r="C43" s="36">
        <v>12.6</v>
      </c>
    </row>
    <row r="44" spans="1:3" x14ac:dyDescent="0.25">
      <c r="A44" s="34">
        <v>41785.375</v>
      </c>
      <c r="B44" s="35">
        <v>41784</v>
      </c>
      <c r="C44" s="36">
        <v>6</v>
      </c>
    </row>
    <row r="45" spans="1:3" x14ac:dyDescent="0.25">
      <c r="A45" s="34">
        <v>41786.375</v>
      </c>
      <c r="B45" s="35">
        <v>41785</v>
      </c>
      <c r="C45" s="36">
        <v>0</v>
      </c>
    </row>
    <row r="46" spans="1:3" x14ac:dyDescent="0.25">
      <c r="A46" s="34">
        <v>41787.375</v>
      </c>
      <c r="B46" s="35">
        <v>41786</v>
      </c>
      <c r="C46" s="36">
        <v>0</v>
      </c>
    </row>
    <row r="47" spans="1:3" x14ac:dyDescent="0.25">
      <c r="A47" s="34">
        <v>41788.375</v>
      </c>
      <c r="B47" s="35">
        <v>41787</v>
      </c>
      <c r="C47" s="36">
        <v>0</v>
      </c>
    </row>
    <row r="48" spans="1:3" x14ac:dyDescent="0.25">
      <c r="A48" s="34">
        <v>41789.375</v>
      </c>
      <c r="B48" s="35">
        <v>41788</v>
      </c>
      <c r="C48" s="36">
        <v>0</v>
      </c>
    </row>
    <row r="49" spans="1:3" x14ac:dyDescent="0.25">
      <c r="A49" s="34">
        <v>41790.375</v>
      </c>
      <c r="B49" s="35">
        <v>41789</v>
      </c>
      <c r="C49" s="36">
        <v>1</v>
      </c>
    </row>
    <row r="50" spans="1:3" x14ac:dyDescent="0.25">
      <c r="A50" s="34">
        <v>41791.375</v>
      </c>
      <c r="B50" s="35">
        <v>41790</v>
      </c>
      <c r="C50" s="36" t="s">
        <v>15</v>
      </c>
    </row>
    <row r="51" spans="1:3" x14ac:dyDescent="0.25">
      <c r="A51" s="34">
        <v>41792.375</v>
      </c>
      <c r="B51" s="35">
        <v>41791</v>
      </c>
      <c r="C51" s="36">
        <v>0</v>
      </c>
    </row>
    <row r="52" spans="1:3" x14ac:dyDescent="0.25">
      <c r="A52" s="34">
        <v>41793.375</v>
      </c>
      <c r="B52" s="35">
        <v>41792</v>
      </c>
      <c r="C52" s="36">
        <v>0</v>
      </c>
    </row>
    <row r="53" spans="1:3" x14ac:dyDescent="0.25">
      <c r="A53" s="34">
        <v>41794.375</v>
      </c>
      <c r="B53" s="35">
        <v>41793</v>
      </c>
      <c r="C53" s="36">
        <v>46</v>
      </c>
    </row>
    <row r="54" spans="1:3" x14ac:dyDescent="0.25">
      <c r="A54" s="34">
        <v>41795.375</v>
      </c>
      <c r="B54" s="35">
        <v>41794</v>
      </c>
      <c r="C54" s="36">
        <v>21</v>
      </c>
    </row>
    <row r="55" spans="1:3" x14ac:dyDescent="0.25">
      <c r="A55" s="34">
        <v>41796.375</v>
      </c>
      <c r="B55" s="35">
        <v>41795</v>
      </c>
      <c r="C55" s="36">
        <v>31</v>
      </c>
    </row>
    <row r="56" spans="1:3" x14ac:dyDescent="0.25">
      <c r="A56" s="34">
        <v>41797.375</v>
      </c>
      <c r="B56" s="35">
        <v>41796</v>
      </c>
      <c r="C56" s="36">
        <v>29</v>
      </c>
    </row>
    <row r="57" spans="1:3" x14ac:dyDescent="0.25">
      <c r="A57" s="34">
        <v>41798.375</v>
      </c>
      <c r="B57" s="35">
        <v>41797</v>
      </c>
      <c r="C57" s="36">
        <v>0</v>
      </c>
    </row>
    <row r="58" spans="1:3" x14ac:dyDescent="0.25">
      <c r="A58" s="34">
        <v>41799.375</v>
      </c>
      <c r="B58" s="35">
        <v>41798</v>
      </c>
      <c r="C58" s="36">
        <v>0</v>
      </c>
    </row>
    <row r="59" spans="1:3" x14ac:dyDescent="0.25">
      <c r="A59" s="34">
        <v>41800.375</v>
      </c>
      <c r="B59" s="35">
        <v>41799</v>
      </c>
      <c r="C59" s="36">
        <v>0</v>
      </c>
    </row>
    <row r="60" spans="1:3" x14ac:dyDescent="0.25">
      <c r="A60" s="34">
        <v>41801.375</v>
      </c>
      <c r="B60" s="35">
        <v>41800</v>
      </c>
      <c r="C60" s="36">
        <v>0</v>
      </c>
    </row>
    <row r="61" spans="1:3" x14ac:dyDescent="0.25">
      <c r="A61" s="34">
        <v>41802.375</v>
      </c>
      <c r="B61" s="35">
        <v>41801</v>
      </c>
      <c r="C61" s="36">
        <v>0</v>
      </c>
    </row>
    <row r="62" spans="1:3" x14ac:dyDescent="0.25">
      <c r="A62" s="34">
        <v>41803.375</v>
      </c>
      <c r="B62" s="35">
        <v>41802</v>
      </c>
      <c r="C62" s="36">
        <v>24</v>
      </c>
    </row>
    <row r="63" spans="1:3" x14ac:dyDescent="0.25">
      <c r="A63" s="34">
        <v>41804.375</v>
      </c>
      <c r="B63" s="35">
        <v>41803</v>
      </c>
      <c r="C63" s="36">
        <v>3</v>
      </c>
    </row>
    <row r="64" spans="1:3" x14ac:dyDescent="0.25">
      <c r="A64" s="34">
        <v>41805.375</v>
      </c>
      <c r="B64" s="35">
        <v>41804</v>
      </c>
      <c r="C64" s="36">
        <v>7.5</v>
      </c>
    </row>
    <row r="65" spans="1:3" x14ac:dyDescent="0.25">
      <c r="A65" s="34">
        <v>41806.375</v>
      </c>
      <c r="B65" s="35">
        <v>41805</v>
      </c>
      <c r="C65" s="36">
        <v>0</v>
      </c>
    </row>
    <row r="66" spans="1:3" x14ac:dyDescent="0.25">
      <c r="A66" s="34">
        <v>41807.375</v>
      </c>
      <c r="B66" s="35">
        <v>41806</v>
      </c>
      <c r="C66" s="36">
        <v>0</v>
      </c>
    </row>
    <row r="67" spans="1:3" x14ac:dyDescent="0.25">
      <c r="A67" s="34">
        <v>41808.375</v>
      </c>
      <c r="B67" s="35">
        <v>41807</v>
      </c>
      <c r="C67" s="36">
        <v>11</v>
      </c>
    </row>
    <row r="68" spans="1:3" x14ac:dyDescent="0.25">
      <c r="A68" s="34">
        <v>41809.375</v>
      </c>
      <c r="B68" s="35">
        <v>41808</v>
      </c>
      <c r="C68" s="36">
        <v>4</v>
      </c>
    </row>
    <row r="69" spans="1:3" x14ac:dyDescent="0.25">
      <c r="A69" s="34">
        <v>41810.375</v>
      </c>
      <c r="B69" s="35">
        <v>41809</v>
      </c>
      <c r="C69" s="36" t="s">
        <v>15</v>
      </c>
    </row>
    <row r="70" spans="1:3" x14ac:dyDescent="0.25">
      <c r="A70" s="34">
        <v>41811.375</v>
      </c>
      <c r="B70" s="35">
        <v>41810</v>
      </c>
      <c r="C70" s="36">
        <v>0</v>
      </c>
    </row>
    <row r="71" spans="1:3" x14ac:dyDescent="0.25">
      <c r="A71" s="34">
        <v>41812.375</v>
      </c>
      <c r="B71" s="35">
        <v>41811</v>
      </c>
      <c r="C71" s="36">
        <v>22</v>
      </c>
    </row>
    <row r="72" spans="1:3" x14ac:dyDescent="0.25">
      <c r="A72" s="34">
        <v>41813.375</v>
      </c>
      <c r="B72" s="35">
        <v>41812</v>
      </c>
      <c r="C72" s="36">
        <v>0</v>
      </c>
    </row>
    <row r="73" spans="1:3" x14ac:dyDescent="0.25">
      <c r="A73" s="34">
        <v>41814.375</v>
      </c>
      <c r="B73" s="35">
        <v>41813</v>
      </c>
      <c r="C73" s="36" t="s">
        <v>15</v>
      </c>
    </row>
    <row r="74" spans="1:3" x14ac:dyDescent="0.25">
      <c r="A74" s="34">
        <v>41815.375</v>
      </c>
      <c r="B74" s="35">
        <v>41814</v>
      </c>
      <c r="C74" s="36">
        <v>18</v>
      </c>
    </row>
    <row r="75" spans="1:3" x14ac:dyDescent="0.25">
      <c r="A75" s="34">
        <v>41816.375</v>
      </c>
      <c r="B75" s="35">
        <v>41815</v>
      </c>
      <c r="C75" s="36">
        <v>8</v>
      </c>
    </row>
    <row r="76" spans="1:3" x14ac:dyDescent="0.25">
      <c r="A76" s="34">
        <v>41817.375</v>
      </c>
      <c r="B76" s="35">
        <v>41816</v>
      </c>
      <c r="C76" s="36">
        <v>7</v>
      </c>
    </row>
    <row r="77" spans="1:3" x14ac:dyDescent="0.25">
      <c r="A77" s="34">
        <v>41818.375</v>
      </c>
      <c r="B77" s="35">
        <v>41817</v>
      </c>
      <c r="C77" s="36">
        <v>7</v>
      </c>
    </row>
    <row r="78" spans="1:3" x14ac:dyDescent="0.25">
      <c r="A78" s="34">
        <v>41819.375</v>
      </c>
      <c r="B78" s="35">
        <v>41818</v>
      </c>
      <c r="C78" s="36">
        <v>6.5</v>
      </c>
    </row>
    <row r="79" spans="1:3" x14ac:dyDescent="0.25">
      <c r="A79" s="34">
        <v>41820.375</v>
      </c>
      <c r="B79" s="35">
        <v>41819</v>
      </c>
      <c r="C79" s="36">
        <v>3</v>
      </c>
    </row>
    <row r="80" spans="1:3" x14ac:dyDescent="0.25">
      <c r="A80" s="34">
        <v>41821.375</v>
      </c>
      <c r="B80" s="35">
        <v>41820</v>
      </c>
      <c r="C80" s="36">
        <v>55</v>
      </c>
    </row>
    <row r="81" spans="1:3" x14ac:dyDescent="0.25">
      <c r="A81" s="34">
        <v>41822.375</v>
      </c>
      <c r="B81" s="35">
        <v>41821</v>
      </c>
      <c r="C81" s="36">
        <v>21</v>
      </c>
    </row>
    <row r="82" spans="1:3" x14ac:dyDescent="0.25">
      <c r="A82" s="34">
        <v>41823.375</v>
      </c>
      <c r="B82" s="35">
        <v>41822</v>
      </c>
      <c r="C82" s="36">
        <v>11</v>
      </c>
    </row>
    <row r="83" spans="1:3" x14ac:dyDescent="0.25">
      <c r="A83" s="34">
        <v>41824.375</v>
      </c>
      <c r="B83" s="35">
        <v>41823</v>
      </c>
      <c r="C83" s="36">
        <v>8</v>
      </c>
    </row>
    <row r="84" spans="1:3" x14ac:dyDescent="0.25">
      <c r="A84" s="34">
        <v>41825.375</v>
      </c>
      <c r="B84" s="35">
        <v>41824</v>
      </c>
      <c r="C84" s="36">
        <v>7</v>
      </c>
    </row>
    <row r="85" spans="1:3" x14ac:dyDescent="0.25">
      <c r="A85" s="34">
        <v>41826.375</v>
      </c>
      <c r="B85" s="35">
        <v>41825</v>
      </c>
      <c r="C85" s="36">
        <v>11</v>
      </c>
    </row>
    <row r="86" spans="1:3" x14ac:dyDescent="0.25">
      <c r="A86" s="34">
        <v>41827.375</v>
      </c>
      <c r="B86" s="35">
        <v>41826</v>
      </c>
      <c r="C86" s="36" t="s">
        <v>15</v>
      </c>
    </row>
    <row r="87" spans="1:3" x14ac:dyDescent="0.25">
      <c r="A87" s="34">
        <v>41828.375</v>
      </c>
      <c r="B87" s="35">
        <v>41827</v>
      </c>
      <c r="C87" s="36">
        <v>7</v>
      </c>
    </row>
    <row r="88" spans="1:3" x14ac:dyDescent="0.25">
      <c r="A88" s="34">
        <v>41829.375</v>
      </c>
      <c r="B88" s="35">
        <v>41828</v>
      </c>
      <c r="C88" s="36" t="s">
        <v>15</v>
      </c>
    </row>
    <row r="89" spans="1:3" x14ac:dyDescent="0.25">
      <c r="A89" s="34">
        <v>41830.375</v>
      </c>
      <c r="B89" s="35">
        <v>41829</v>
      </c>
      <c r="C89" s="36">
        <v>0</v>
      </c>
    </row>
    <row r="90" spans="1:3" x14ac:dyDescent="0.25">
      <c r="A90" s="34">
        <v>41831.375</v>
      </c>
      <c r="B90" s="35">
        <v>41830</v>
      </c>
      <c r="C90" s="36">
        <v>6</v>
      </c>
    </row>
    <row r="91" spans="1:3" x14ac:dyDescent="0.25">
      <c r="A91" s="34">
        <v>41832.375</v>
      </c>
      <c r="B91" s="35">
        <v>41831</v>
      </c>
      <c r="C91" s="36">
        <v>23</v>
      </c>
    </row>
    <row r="92" spans="1:3" x14ac:dyDescent="0.25">
      <c r="A92" s="34">
        <v>41833.375</v>
      </c>
      <c r="B92" s="35">
        <v>41832</v>
      </c>
      <c r="C92" s="36">
        <v>4</v>
      </c>
    </row>
    <row r="93" spans="1:3" x14ac:dyDescent="0.25">
      <c r="A93" s="34">
        <v>41834.375</v>
      </c>
      <c r="B93" s="35">
        <v>41833</v>
      </c>
      <c r="C93" s="36">
        <v>24</v>
      </c>
    </row>
    <row r="94" spans="1:3" x14ac:dyDescent="0.25">
      <c r="A94" s="34">
        <v>41835.375</v>
      </c>
      <c r="B94" s="35">
        <v>41834</v>
      </c>
      <c r="C94" s="36">
        <v>6</v>
      </c>
    </row>
    <row r="95" spans="1:3" x14ac:dyDescent="0.25">
      <c r="A95" s="34">
        <v>41836.375</v>
      </c>
      <c r="B95" s="35">
        <v>41835</v>
      </c>
      <c r="C95" s="36" t="s">
        <v>15</v>
      </c>
    </row>
    <row r="96" spans="1:3" x14ac:dyDescent="0.25">
      <c r="A96" s="34">
        <v>41837.375</v>
      </c>
      <c r="B96" s="35">
        <v>41836</v>
      </c>
      <c r="C96" s="36">
        <v>30</v>
      </c>
    </row>
    <row r="97" spans="1:3" x14ac:dyDescent="0.25">
      <c r="A97" s="34">
        <v>41838.375</v>
      </c>
      <c r="B97" s="35">
        <v>41837</v>
      </c>
      <c r="C97" s="36" t="s">
        <v>15</v>
      </c>
    </row>
    <row r="98" spans="1:3" x14ac:dyDescent="0.25">
      <c r="A98" s="34">
        <v>41839.375</v>
      </c>
      <c r="B98" s="35">
        <v>41838</v>
      </c>
      <c r="C98" s="36">
        <v>6</v>
      </c>
    </row>
    <row r="99" spans="1:3" x14ac:dyDescent="0.25">
      <c r="A99" s="34">
        <v>41840.375</v>
      </c>
      <c r="B99" s="35">
        <v>41839</v>
      </c>
      <c r="C99" s="36">
        <v>5</v>
      </c>
    </row>
    <row r="100" spans="1:3" x14ac:dyDescent="0.25">
      <c r="A100" s="34">
        <v>41841.375</v>
      </c>
      <c r="B100" s="35">
        <v>41840</v>
      </c>
      <c r="C100" s="36" t="s">
        <v>15</v>
      </c>
    </row>
    <row r="101" spans="1:3" x14ac:dyDescent="0.25">
      <c r="A101" s="34">
        <v>41842.375</v>
      </c>
      <c r="B101" s="35">
        <v>41841</v>
      </c>
      <c r="C101" s="36">
        <v>15</v>
      </c>
    </row>
    <row r="102" spans="1:3" x14ac:dyDescent="0.25">
      <c r="A102" s="34">
        <v>41843.375</v>
      </c>
      <c r="B102" s="35">
        <v>41842</v>
      </c>
      <c r="C102" s="36" t="s">
        <v>15</v>
      </c>
    </row>
    <row r="103" spans="1:3" x14ac:dyDescent="0.25">
      <c r="A103" s="34">
        <v>41844.375</v>
      </c>
      <c r="B103" s="35">
        <v>41843</v>
      </c>
      <c r="C103" s="36">
        <v>13</v>
      </c>
    </row>
    <row r="104" spans="1:3" x14ac:dyDescent="0.25">
      <c r="A104" s="34">
        <v>41845.375</v>
      </c>
      <c r="B104" s="35">
        <v>41844</v>
      </c>
      <c r="C104" s="36">
        <v>12</v>
      </c>
    </row>
    <row r="105" spans="1:3" x14ac:dyDescent="0.25">
      <c r="A105" s="34">
        <v>41846.375</v>
      </c>
      <c r="B105" s="35">
        <v>41845</v>
      </c>
      <c r="C105" s="36" t="s">
        <v>15</v>
      </c>
    </row>
    <row r="106" spans="1:3" x14ac:dyDescent="0.25">
      <c r="A106" s="34">
        <v>41847.375</v>
      </c>
      <c r="B106" s="35">
        <v>41846</v>
      </c>
      <c r="C106" s="36">
        <v>30</v>
      </c>
    </row>
    <row r="107" spans="1:3" x14ac:dyDescent="0.25">
      <c r="A107" s="34">
        <v>41848.375</v>
      </c>
      <c r="B107" s="35">
        <v>41847</v>
      </c>
      <c r="C107" s="36">
        <v>12</v>
      </c>
    </row>
    <row r="108" spans="1:3" x14ac:dyDescent="0.25">
      <c r="A108" s="34">
        <v>41849.375</v>
      </c>
      <c r="B108" s="35">
        <v>41848</v>
      </c>
      <c r="C108" s="36">
        <v>3</v>
      </c>
    </row>
    <row r="109" spans="1:3" x14ac:dyDescent="0.25">
      <c r="A109" s="34">
        <v>41850.375</v>
      </c>
      <c r="B109" s="35">
        <v>41849</v>
      </c>
      <c r="C109" s="36">
        <v>2</v>
      </c>
    </row>
    <row r="110" spans="1:3" x14ac:dyDescent="0.25">
      <c r="A110" s="34">
        <v>41851.375</v>
      </c>
      <c r="B110" s="35">
        <v>41850</v>
      </c>
      <c r="C110" s="36">
        <v>0</v>
      </c>
    </row>
    <row r="111" spans="1:3" x14ac:dyDescent="0.25">
      <c r="A111" s="34">
        <v>41852.375</v>
      </c>
      <c r="B111" s="35">
        <v>41851</v>
      </c>
      <c r="C111" s="36">
        <v>49</v>
      </c>
    </row>
    <row r="112" spans="1:3" x14ac:dyDescent="0.25">
      <c r="A112" s="34">
        <v>41853.375</v>
      </c>
      <c r="B112" s="35">
        <v>41852</v>
      </c>
      <c r="C112" s="36">
        <v>29</v>
      </c>
    </row>
    <row r="113" spans="1:3" x14ac:dyDescent="0.25">
      <c r="A113" s="34">
        <v>41854.375</v>
      </c>
      <c r="B113" s="35">
        <v>41853</v>
      </c>
      <c r="C113" s="36">
        <v>6</v>
      </c>
    </row>
    <row r="114" spans="1:3" x14ac:dyDescent="0.25">
      <c r="A114" s="34">
        <v>41855.375</v>
      </c>
      <c r="B114" s="35">
        <v>41854</v>
      </c>
      <c r="C114" s="36">
        <v>10.5</v>
      </c>
    </row>
    <row r="115" spans="1:3" x14ac:dyDescent="0.25">
      <c r="A115" s="34">
        <v>41856.375</v>
      </c>
      <c r="B115" s="35">
        <v>41855</v>
      </c>
      <c r="C115" s="36">
        <v>14</v>
      </c>
    </row>
    <row r="116" spans="1:3" x14ac:dyDescent="0.25">
      <c r="A116" s="34">
        <v>41857.375</v>
      </c>
      <c r="B116" s="35">
        <v>41856</v>
      </c>
      <c r="C116" s="36" t="s">
        <v>15</v>
      </c>
    </row>
    <row r="117" spans="1:3" x14ac:dyDescent="0.25">
      <c r="A117" s="34">
        <v>41858.375</v>
      </c>
      <c r="B117" s="35">
        <v>41857</v>
      </c>
      <c r="C117" s="36">
        <v>3</v>
      </c>
    </row>
    <row r="118" spans="1:3" x14ac:dyDescent="0.25">
      <c r="A118" s="34">
        <v>41859.375</v>
      </c>
      <c r="B118" s="35">
        <v>41858</v>
      </c>
      <c r="C118" s="36">
        <v>0</v>
      </c>
    </row>
    <row r="119" spans="1:3" x14ac:dyDescent="0.25">
      <c r="A119" s="34">
        <v>41860.375</v>
      </c>
      <c r="B119" s="35">
        <v>41859</v>
      </c>
      <c r="C119" s="36">
        <v>62</v>
      </c>
    </row>
    <row r="120" spans="1:3" x14ac:dyDescent="0.25">
      <c r="A120" s="34">
        <v>41861.375</v>
      </c>
      <c r="B120" s="35">
        <v>41860</v>
      </c>
      <c r="C120" s="36">
        <v>39</v>
      </c>
    </row>
    <row r="121" spans="1:3" x14ac:dyDescent="0.25">
      <c r="A121" s="34">
        <v>41862.375</v>
      </c>
      <c r="B121" s="35">
        <v>41861</v>
      </c>
      <c r="C121" s="36">
        <v>5</v>
      </c>
    </row>
    <row r="122" spans="1:3" x14ac:dyDescent="0.25">
      <c r="A122" s="34">
        <v>41863.375</v>
      </c>
      <c r="B122" s="35">
        <v>41862</v>
      </c>
      <c r="C122" s="36">
        <v>7</v>
      </c>
    </row>
    <row r="123" spans="1:3" x14ac:dyDescent="0.25">
      <c r="A123" s="34">
        <v>41864.375</v>
      </c>
      <c r="B123" s="35">
        <v>41863</v>
      </c>
      <c r="C123" s="36">
        <v>5</v>
      </c>
    </row>
    <row r="124" spans="1:3" x14ac:dyDescent="0.25">
      <c r="A124" s="34">
        <v>41865.375</v>
      </c>
      <c r="B124" s="35">
        <v>41864</v>
      </c>
      <c r="C124" s="36">
        <v>19.5</v>
      </c>
    </row>
    <row r="125" spans="1:3" x14ac:dyDescent="0.25">
      <c r="A125" s="34">
        <v>41866.375</v>
      </c>
      <c r="B125" s="35">
        <v>41865</v>
      </c>
      <c r="C125" s="36">
        <v>4</v>
      </c>
    </row>
    <row r="126" spans="1:3" x14ac:dyDescent="0.25">
      <c r="A126" s="34">
        <v>41867.375</v>
      </c>
      <c r="B126" s="35">
        <v>41866</v>
      </c>
      <c r="C126" s="36" t="s">
        <v>15</v>
      </c>
    </row>
    <row r="127" spans="1:3" x14ac:dyDescent="0.25">
      <c r="A127" s="34">
        <v>41868.375</v>
      </c>
      <c r="B127" s="35">
        <v>41867</v>
      </c>
      <c r="C127" s="36">
        <v>26</v>
      </c>
    </row>
    <row r="128" spans="1:3" x14ac:dyDescent="0.25">
      <c r="A128" s="34">
        <v>41869.375</v>
      </c>
      <c r="B128" s="35">
        <v>41868</v>
      </c>
      <c r="C128" s="36">
        <v>21</v>
      </c>
    </row>
    <row r="129" spans="1:3" x14ac:dyDescent="0.25">
      <c r="A129" s="34">
        <v>41870.375</v>
      </c>
      <c r="B129" s="35">
        <v>41869</v>
      </c>
      <c r="C129" s="36">
        <v>0</v>
      </c>
    </row>
    <row r="130" spans="1:3" x14ac:dyDescent="0.25">
      <c r="A130" s="34">
        <v>41871.375</v>
      </c>
      <c r="B130" s="35">
        <v>41870</v>
      </c>
      <c r="C130" s="36">
        <v>0</v>
      </c>
    </row>
    <row r="131" spans="1:3" x14ac:dyDescent="0.25">
      <c r="A131" s="34">
        <v>41872.375</v>
      </c>
      <c r="B131" s="35">
        <v>41871</v>
      </c>
      <c r="C131" s="36" t="s">
        <v>15</v>
      </c>
    </row>
    <row r="132" spans="1:3" x14ac:dyDescent="0.25">
      <c r="A132" s="34">
        <v>41873.375</v>
      </c>
      <c r="B132" s="35">
        <v>41872</v>
      </c>
      <c r="C132" s="36">
        <v>59</v>
      </c>
    </row>
    <row r="133" spans="1:3" x14ac:dyDescent="0.25">
      <c r="A133" s="34">
        <v>41874.375</v>
      </c>
      <c r="B133" s="35">
        <v>41873</v>
      </c>
      <c r="C133" s="36" t="s">
        <v>15</v>
      </c>
    </row>
    <row r="134" spans="1:3" x14ac:dyDescent="0.25">
      <c r="A134" s="34">
        <v>41875.375</v>
      </c>
      <c r="B134" s="35">
        <v>41874</v>
      </c>
      <c r="C134" s="36">
        <v>11</v>
      </c>
    </row>
    <row r="135" spans="1:3" x14ac:dyDescent="0.25">
      <c r="A135" s="34">
        <v>41876.375</v>
      </c>
      <c r="B135" s="35">
        <v>41875</v>
      </c>
      <c r="C135" s="36">
        <v>45</v>
      </c>
    </row>
    <row r="136" spans="1:3" x14ac:dyDescent="0.25">
      <c r="A136" s="34">
        <v>41877.375</v>
      </c>
      <c r="B136" s="35">
        <v>41876</v>
      </c>
      <c r="C136" s="36">
        <v>3</v>
      </c>
    </row>
    <row r="137" spans="1:3" x14ac:dyDescent="0.25">
      <c r="A137" s="34">
        <v>41878.375</v>
      </c>
      <c r="B137" s="35">
        <v>41877</v>
      </c>
      <c r="C137" s="36">
        <v>30</v>
      </c>
    </row>
    <row r="138" spans="1:3" x14ac:dyDescent="0.25">
      <c r="A138" s="34">
        <v>41879.375</v>
      </c>
      <c r="B138" s="35">
        <v>41878</v>
      </c>
      <c r="C138" s="36">
        <v>4</v>
      </c>
    </row>
    <row r="139" spans="1:3" x14ac:dyDescent="0.25">
      <c r="A139" s="34">
        <v>41880.375</v>
      </c>
      <c r="B139" s="35">
        <v>41879</v>
      </c>
      <c r="C139" s="36">
        <v>2</v>
      </c>
    </row>
    <row r="140" spans="1:3" x14ac:dyDescent="0.25">
      <c r="A140" s="34">
        <v>41881.375</v>
      </c>
      <c r="B140" s="35">
        <v>41880</v>
      </c>
      <c r="C140" s="36">
        <v>0</v>
      </c>
    </row>
    <row r="141" spans="1:3" x14ac:dyDescent="0.25">
      <c r="A141" s="34">
        <v>41882.375</v>
      </c>
      <c r="B141" s="35">
        <v>41881</v>
      </c>
      <c r="C141" s="36">
        <v>4</v>
      </c>
    </row>
    <row r="142" spans="1:3" x14ac:dyDescent="0.25">
      <c r="A142" s="34">
        <v>41883.375</v>
      </c>
      <c r="B142" s="35">
        <v>41882</v>
      </c>
      <c r="C142" s="36">
        <v>2.5</v>
      </c>
    </row>
    <row r="143" spans="1:3" x14ac:dyDescent="0.25">
      <c r="A143" s="34">
        <v>41884.375</v>
      </c>
      <c r="B143" s="35">
        <v>41883</v>
      </c>
      <c r="C143" s="36">
        <v>0</v>
      </c>
    </row>
    <row r="144" spans="1:3" x14ac:dyDescent="0.25">
      <c r="A144" s="34">
        <v>41885.375</v>
      </c>
      <c r="B144" s="35">
        <v>41884</v>
      </c>
      <c r="C144" s="36">
        <v>4</v>
      </c>
    </row>
    <row r="145" spans="1:3" x14ac:dyDescent="0.25">
      <c r="A145" s="34">
        <v>41886.375</v>
      </c>
      <c r="B145" s="35">
        <v>41885</v>
      </c>
      <c r="C145" s="36">
        <v>19</v>
      </c>
    </row>
    <row r="146" spans="1:3" x14ac:dyDescent="0.25">
      <c r="A146" s="34">
        <v>41887.375</v>
      </c>
      <c r="B146" s="35">
        <v>41886</v>
      </c>
      <c r="C146" s="36">
        <v>0</v>
      </c>
    </row>
    <row r="147" spans="1:3" x14ac:dyDescent="0.25">
      <c r="A147" s="34">
        <v>41888.375</v>
      </c>
      <c r="B147" s="35">
        <v>41887</v>
      </c>
      <c r="C147" s="36">
        <v>5</v>
      </c>
    </row>
    <row r="148" spans="1:3" x14ac:dyDescent="0.25">
      <c r="A148" s="34">
        <v>41889.375</v>
      </c>
      <c r="B148" s="35">
        <v>41888</v>
      </c>
      <c r="C148" s="36" t="s">
        <v>15</v>
      </c>
    </row>
    <row r="149" spans="1:3" x14ac:dyDescent="0.25">
      <c r="A149" s="34">
        <v>41890.375</v>
      </c>
      <c r="B149" s="35">
        <v>41889</v>
      </c>
      <c r="C149" s="36">
        <v>24</v>
      </c>
    </row>
    <row r="150" spans="1:3" x14ac:dyDescent="0.25">
      <c r="A150" s="34">
        <v>41891.375</v>
      </c>
      <c r="B150" s="35">
        <v>41890</v>
      </c>
      <c r="C150" s="36">
        <v>25</v>
      </c>
    </row>
    <row r="151" spans="1:3" x14ac:dyDescent="0.25">
      <c r="A151" s="34">
        <v>41892.375</v>
      </c>
      <c r="B151" s="35">
        <v>41891</v>
      </c>
      <c r="C151" s="36">
        <v>18</v>
      </c>
    </row>
    <row r="152" spans="1:3" x14ac:dyDescent="0.25">
      <c r="A152" s="34">
        <v>41893.375</v>
      </c>
      <c r="B152" s="35">
        <v>41892</v>
      </c>
      <c r="C152" s="36">
        <v>25</v>
      </c>
    </row>
    <row r="153" spans="1:3" x14ac:dyDescent="0.25">
      <c r="A153" s="34">
        <v>41894.375</v>
      </c>
      <c r="B153" s="35">
        <v>41893</v>
      </c>
      <c r="C153" s="36">
        <v>2</v>
      </c>
    </row>
    <row r="154" spans="1:3" x14ac:dyDescent="0.25">
      <c r="A154" s="34">
        <v>41895.375</v>
      </c>
      <c r="B154" s="35">
        <v>41894</v>
      </c>
      <c r="C154" s="36">
        <v>10</v>
      </c>
    </row>
    <row r="155" spans="1:3" x14ac:dyDescent="0.25">
      <c r="A155" s="34">
        <v>41896.375</v>
      </c>
      <c r="B155" s="35">
        <v>41895</v>
      </c>
      <c r="C155" s="36">
        <v>4</v>
      </c>
    </row>
    <row r="156" spans="1:3" x14ac:dyDescent="0.25">
      <c r="A156" s="34">
        <v>41897.375</v>
      </c>
      <c r="B156" s="35">
        <v>41896</v>
      </c>
      <c r="C156" s="36">
        <v>25</v>
      </c>
    </row>
    <row r="157" spans="1:3" x14ac:dyDescent="0.25">
      <c r="A157" s="34">
        <v>41898.375</v>
      </c>
      <c r="B157" s="35">
        <v>41897</v>
      </c>
      <c r="C157" s="36" t="s">
        <v>15</v>
      </c>
    </row>
    <row r="158" spans="1:3" x14ac:dyDescent="0.25">
      <c r="A158" s="34">
        <v>41899.375</v>
      </c>
      <c r="B158" s="35">
        <v>41898</v>
      </c>
      <c r="C158" s="36">
        <v>10</v>
      </c>
    </row>
    <row r="159" spans="1:3" x14ac:dyDescent="0.25">
      <c r="A159" s="34">
        <v>41900.375</v>
      </c>
      <c r="B159" s="35">
        <v>41899</v>
      </c>
      <c r="C159" s="36">
        <v>11</v>
      </c>
    </row>
    <row r="160" spans="1:3" x14ac:dyDescent="0.25">
      <c r="A160" s="34">
        <v>41901.375</v>
      </c>
      <c r="B160" s="35">
        <v>41900</v>
      </c>
      <c r="C160" s="36" t="s">
        <v>15</v>
      </c>
    </row>
    <row r="161" spans="1:3" x14ac:dyDescent="0.25">
      <c r="A161" s="34">
        <v>41902.375</v>
      </c>
      <c r="B161" s="35">
        <v>41901</v>
      </c>
      <c r="C161" s="36">
        <v>0</v>
      </c>
    </row>
    <row r="162" spans="1:3" x14ac:dyDescent="0.25">
      <c r="A162" s="34">
        <v>41903.375</v>
      </c>
      <c r="B162" s="35">
        <v>41902</v>
      </c>
      <c r="C162" s="36">
        <v>0</v>
      </c>
    </row>
    <row r="163" spans="1:3" x14ac:dyDescent="0.25">
      <c r="A163" s="34">
        <v>41904.375</v>
      </c>
      <c r="B163" s="35">
        <v>41903</v>
      </c>
      <c r="C163" s="36">
        <v>21</v>
      </c>
    </row>
    <row r="164" spans="1:3" x14ac:dyDescent="0.25">
      <c r="A164" s="34">
        <v>41905.375</v>
      </c>
      <c r="B164" s="35">
        <v>41904</v>
      </c>
      <c r="C164" s="36" t="s">
        <v>15</v>
      </c>
    </row>
    <row r="165" spans="1:3" x14ac:dyDescent="0.25">
      <c r="A165" s="34">
        <v>41906.375</v>
      </c>
      <c r="B165" s="35">
        <v>41905</v>
      </c>
      <c r="C165" s="36">
        <v>0</v>
      </c>
    </row>
    <row r="166" spans="1:3" x14ac:dyDescent="0.25">
      <c r="A166" s="34">
        <v>41907.375</v>
      </c>
      <c r="B166" s="35">
        <v>41906</v>
      </c>
      <c r="C166" s="36">
        <v>20</v>
      </c>
    </row>
    <row r="167" spans="1:3" x14ac:dyDescent="0.25">
      <c r="A167" s="34">
        <v>41908.375</v>
      </c>
      <c r="B167" s="35">
        <v>41907</v>
      </c>
      <c r="C167" s="36">
        <v>25</v>
      </c>
    </row>
    <row r="168" spans="1:3" x14ac:dyDescent="0.25">
      <c r="A168" s="34">
        <v>41909.375</v>
      </c>
      <c r="B168" s="35">
        <v>41908</v>
      </c>
      <c r="C168" s="36">
        <v>18</v>
      </c>
    </row>
    <row r="169" spans="1:3" x14ac:dyDescent="0.25">
      <c r="A169" s="34">
        <v>41910.375</v>
      </c>
      <c r="B169" s="35">
        <v>41909</v>
      </c>
      <c r="C169" s="36">
        <v>7</v>
      </c>
    </row>
    <row r="170" spans="1:3" x14ac:dyDescent="0.25">
      <c r="A170" s="34">
        <v>41911.375</v>
      </c>
      <c r="B170" s="35">
        <v>41910</v>
      </c>
      <c r="C170" s="36" t="s">
        <v>15</v>
      </c>
    </row>
    <row r="171" spans="1:3" x14ac:dyDescent="0.25">
      <c r="A171" s="34">
        <v>41912.375</v>
      </c>
      <c r="B171" s="35">
        <v>41911</v>
      </c>
      <c r="C171" s="36">
        <v>10</v>
      </c>
    </row>
    <row r="172" spans="1:3" x14ac:dyDescent="0.25">
      <c r="A172" s="34">
        <v>41913.375</v>
      </c>
      <c r="B172" s="35">
        <v>41912</v>
      </c>
      <c r="C172" s="36">
        <v>15</v>
      </c>
    </row>
    <row r="173" spans="1:3" x14ac:dyDescent="0.25">
      <c r="A173" s="34">
        <v>41914.375</v>
      </c>
      <c r="B173" s="35">
        <v>41913</v>
      </c>
      <c r="C173" s="36">
        <v>4</v>
      </c>
    </row>
    <row r="174" spans="1:3" x14ac:dyDescent="0.25">
      <c r="A174" s="34">
        <v>41915.375</v>
      </c>
      <c r="B174" s="35">
        <v>41914</v>
      </c>
      <c r="C174" s="36">
        <v>0</v>
      </c>
    </row>
    <row r="175" spans="1:3" x14ac:dyDescent="0.25">
      <c r="A175" s="34">
        <v>41916.375</v>
      </c>
      <c r="B175" s="35">
        <v>41915</v>
      </c>
      <c r="C175" s="36">
        <v>10</v>
      </c>
    </row>
    <row r="176" spans="1:3" x14ac:dyDescent="0.25">
      <c r="A176" s="34">
        <v>41917.375</v>
      </c>
      <c r="B176" s="35">
        <v>41916</v>
      </c>
      <c r="C176" s="36">
        <v>12</v>
      </c>
    </row>
    <row r="177" spans="1:3" x14ac:dyDescent="0.25">
      <c r="A177" s="34">
        <v>41918.375</v>
      </c>
      <c r="B177" s="35">
        <v>41917</v>
      </c>
      <c r="C177" s="36">
        <v>0</v>
      </c>
    </row>
    <row r="178" spans="1:3" x14ac:dyDescent="0.25">
      <c r="A178" s="34">
        <v>41919.375</v>
      </c>
      <c r="B178" s="35">
        <v>41918</v>
      </c>
      <c r="C178" s="36" t="s">
        <v>15</v>
      </c>
    </row>
    <row r="179" spans="1:3" x14ac:dyDescent="0.25">
      <c r="A179" s="34">
        <v>41920.375</v>
      </c>
      <c r="B179" s="35">
        <v>41919</v>
      </c>
      <c r="C179" s="36">
        <v>10</v>
      </c>
    </row>
    <row r="180" spans="1:3" x14ac:dyDescent="0.25">
      <c r="A180" s="34">
        <v>41921.375</v>
      </c>
      <c r="B180" s="35">
        <v>41920</v>
      </c>
      <c r="C180" s="36">
        <v>6</v>
      </c>
    </row>
    <row r="181" spans="1:3" x14ac:dyDescent="0.25">
      <c r="A181" s="34">
        <v>41922.375</v>
      </c>
      <c r="B181" s="35">
        <v>41921</v>
      </c>
      <c r="C181" s="36">
        <v>24</v>
      </c>
    </row>
    <row r="182" spans="1:3" x14ac:dyDescent="0.25">
      <c r="A182" s="34">
        <v>41923.375</v>
      </c>
      <c r="B182" s="35">
        <v>41922</v>
      </c>
      <c r="C182" s="36">
        <v>0</v>
      </c>
    </row>
    <row r="183" spans="1:3" x14ac:dyDescent="0.25">
      <c r="A183" s="34">
        <v>41924.375</v>
      </c>
      <c r="B183" s="35">
        <v>41923</v>
      </c>
      <c r="C183" s="36" t="s">
        <v>15</v>
      </c>
    </row>
    <row r="184" spans="1:3" x14ac:dyDescent="0.25">
      <c r="A184" s="34">
        <v>41925.375</v>
      </c>
      <c r="B184" s="35">
        <v>41924</v>
      </c>
      <c r="C184" s="36">
        <v>10</v>
      </c>
    </row>
    <row r="185" spans="1:3" x14ac:dyDescent="0.25">
      <c r="A185" s="34">
        <v>41926.375</v>
      </c>
      <c r="B185" s="35">
        <v>41925</v>
      </c>
      <c r="C185" s="36">
        <v>0</v>
      </c>
    </row>
    <row r="186" spans="1:3" x14ac:dyDescent="0.25">
      <c r="A186" s="34">
        <v>41927.375</v>
      </c>
      <c r="B186" s="35">
        <v>41926</v>
      </c>
      <c r="C186" s="36">
        <v>25</v>
      </c>
    </row>
    <row r="187" spans="1:3" x14ac:dyDescent="0.25">
      <c r="A187" s="34">
        <v>41928.375</v>
      </c>
      <c r="B187" s="35">
        <v>41927</v>
      </c>
      <c r="C187" s="36">
        <v>12</v>
      </c>
    </row>
    <row r="188" spans="1:3" x14ac:dyDescent="0.25">
      <c r="A188" s="34">
        <v>41929.375</v>
      </c>
      <c r="B188" s="35">
        <v>41928</v>
      </c>
      <c r="C188" s="36">
        <v>10</v>
      </c>
    </row>
    <row r="189" spans="1:3" x14ac:dyDescent="0.25">
      <c r="A189" s="34">
        <v>41930.375</v>
      </c>
      <c r="B189" s="35">
        <v>41929</v>
      </c>
      <c r="C189" s="36" t="s">
        <v>15</v>
      </c>
    </row>
    <row r="190" spans="1:3" x14ac:dyDescent="0.25">
      <c r="A190" s="34">
        <v>41931.375</v>
      </c>
      <c r="B190" s="35">
        <v>41930</v>
      </c>
      <c r="C190" s="36">
        <v>0</v>
      </c>
    </row>
    <row r="191" spans="1:3" x14ac:dyDescent="0.25">
      <c r="A191" s="34">
        <v>41932.375</v>
      </c>
      <c r="B191" s="35">
        <v>41931</v>
      </c>
      <c r="C191" s="36">
        <v>0</v>
      </c>
    </row>
    <row r="192" spans="1:3" x14ac:dyDescent="0.25">
      <c r="A192" s="34">
        <v>41933.375</v>
      </c>
      <c r="B192" s="35">
        <v>41932</v>
      </c>
      <c r="C192" s="36">
        <v>0</v>
      </c>
    </row>
    <row r="193" spans="1:3" x14ac:dyDescent="0.25">
      <c r="A193" s="34">
        <v>41934.375</v>
      </c>
      <c r="B193" s="35">
        <v>41933</v>
      </c>
      <c r="C193" s="36">
        <v>0</v>
      </c>
    </row>
    <row r="194" spans="1:3" x14ac:dyDescent="0.25">
      <c r="A194" s="34">
        <v>41935.375</v>
      </c>
      <c r="B194" s="35">
        <v>41934</v>
      </c>
      <c r="C194" s="36">
        <v>10</v>
      </c>
    </row>
    <row r="195" spans="1:3" x14ac:dyDescent="0.25">
      <c r="A195" s="34">
        <v>41936.375</v>
      </c>
      <c r="B195" s="35">
        <v>41935</v>
      </c>
      <c r="C195" s="36">
        <v>0</v>
      </c>
    </row>
    <row r="196" spans="1:3" x14ac:dyDescent="0.25">
      <c r="A196" s="34">
        <v>41937.375</v>
      </c>
      <c r="B196" s="35">
        <v>41936</v>
      </c>
      <c r="C196" s="36">
        <v>0</v>
      </c>
    </row>
    <row r="197" spans="1:3" x14ac:dyDescent="0.25">
      <c r="A197" s="34">
        <v>41938.375</v>
      </c>
      <c r="B197" s="35">
        <v>41937</v>
      </c>
      <c r="C197" s="36">
        <v>10</v>
      </c>
    </row>
    <row r="198" spans="1:3" x14ac:dyDescent="0.25">
      <c r="A198" s="34">
        <v>41939.375</v>
      </c>
      <c r="B198" s="35">
        <v>41938</v>
      </c>
      <c r="C198" s="36">
        <v>54</v>
      </c>
    </row>
    <row r="199" spans="1:3" x14ac:dyDescent="0.25">
      <c r="A199" s="34">
        <v>41940.375</v>
      </c>
      <c r="B199" s="35">
        <v>41939</v>
      </c>
      <c r="C199" s="36">
        <v>0</v>
      </c>
    </row>
    <row r="200" spans="1:3" x14ac:dyDescent="0.25">
      <c r="A200" s="34">
        <v>41941.375</v>
      </c>
      <c r="B200" s="35">
        <v>41940</v>
      </c>
      <c r="C200" s="36" t="s">
        <v>15</v>
      </c>
    </row>
    <row r="201" spans="1:3" x14ac:dyDescent="0.25">
      <c r="A201" s="34">
        <v>41942.375</v>
      </c>
      <c r="B201" s="35">
        <v>41941</v>
      </c>
      <c r="C201" s="36">
        <v>4</v>
      </c>
    </row>
    <row r="202" spans="1:3" x14ac:dyDescent="0.25">
      <c r="A202" s="34">
        <v>41943.375</v>
      </c>
      <c r="B202" s="35">
        <v>41942</v>
      </c>
      <c r="C202" s="36">
        <v>6</v>
      </c>
    </row>
    <row r="203" spans="1:3" x14ac:dyDescent="0.25">
      <c r="A203" s="34">
        <v>41944.375</v>
      </c>
      <c r="B203" s="35">
        <v>41943</v>
      </c>
      <c r="C203" s="36">
        <v>10</v>
      </c>
    </row>
    <row r="204" spans="1:3" x14ac:dyDescent="0.25">
      <c r="A204" s="34">
        <v>41945.375</v>
      </c>
      <c r="B204" s="35">
        <v>41944</v>
      </c>
      <c r="C204" s="36">
        <v>6</v>
      </c>
    </row>
    <row r="205" spans="1:3" x14ac:dyDescent="0.25">
      <c r="A205" s="34">
        <v>41946.375</v>
      </c>
      <c r="B205" s="35">
        <v>41945</v>
      </c>
      <c r="C205" s="36" t="s">
        <v>15</v>
      </c>
    </row>
    <row r="206" spans="1:3" x14ac:dyDescent="0.25">
      <c r="A206" s="34">
        <v>41947.375</v>
      </c>
      <c r="B206" s="35">
        <v>41946</v>
      </c>
      <c r="C206" s="36">
        <v>11</v>
      </c>
    </row>
    <row r="207" spans="1:3" x14ac:dyDescent="0.25">
      <c r="A207" s="34">
        <v>41948.375</v>
      </c>
      <c r="B207" s="35">
        <v>41947</v>
      </c>
      <c r="C207" s="36">
        <v>12</v>
      </c>
    </row>
    <row r="208" spans="1:3" x14ac:dyDescent="0.25">
      <c r="A208" s="34">
        <v>41949.375</v>
      </c>
      <c r="B208" s="35">
        <v>41948</v>
      </c>
      <c r="C208" s="36">
        <v>0</v>
      </c>
    </row>
    <row r="209" spans="1:3" x14ac:dyDescent="0.25">
      <c r="A209" s="34">
        <v>41950.375</v>
      </c>
      <c r="B209" s="35">
        <v>41949</v>
      </c>
      <c r="C209" s="36">
        <v>0</v>
      </c>
    </row>
    <row r="210" spans="1:3" x14ac:dyDescent="0.25">
      <c r="A210" s="34">
        <v>41951.375</v>
      </c>
      <c r="B210" s="35">
        <v>41950</v>
      </c>
      <c r="C210" s="36">
        <v>1</v>
      </c>
    </row>
    <row r="211" spans="1:3" x14ac:dyDescent="0.25">
      <c r="A211" s="34">
        <v>41952.375</v>
      </c>
      <c r="B211" s="35">
        <v>41951</v>
      </c>
      <c r="C211" s="36">
        <v>0</v>
      </c>
    </row>
    <row r="212" spans="1:3" x14ac:dyDescent="0.25">
      <c r="A212" s="34">
        <v>41953.375</v>
      </c>
      <c r="B212" s="35">
        <v>41952</v>
      </c>
      <c r="C212" s="36">
        <v>0</v>
      </c>
    </row>
    <row r="213" spans="1:3" x14ac:dyDescent="0.25">
      <c r="A213" s="34">
        <v>41954.375</v>
      </c>
      <c r="B213" s="35">
        <v>41953</v>
      </c>
      <c r="C213" s="36">
        <v>0</v>
      </c>
    </row>
    <row r="214" spans="1:3" x14ac:dyDescent="0.25">
      <c r="A214" s="34">
        <v>41955.375</v>
      </c>
      <c r="B214" s="35">
        <v>41954</v>
      </c>
      <c r="C214" s="36">
        <v>0</v>
      </c>
    </row>
    <row r="215" spans="1:3" x14ac:dyDescent="0.25">
      <c r="A215" s="34">
        <v>41956.375</v>
      </c>
      <c r="B215" s="35">
        <v>41955</v>
      </c>
      <c r="C215" s="36">
        <v>0</v>
      </c>
    </row>
    <row r="216" spans="1:3" x14ac:dyDescent="0.25">
      <c r="A216" s="34">
        <v>41957.375</v>
      </c>
      <c r="B216" s="35">
        <v>41956</v>
      </c>
      <c r="C216" s="36">
        <v>0</v>
      </c>
    </row>
    <row r="217" spans="1:3" x14ac:dyDescent="0.25">
      <c r="A217" s="34">
        <v>41958.375</v>
      </c>
      <c r="B217" s="35">
        <v>41957</v>
      </c>
      <c r="C217" s="36" t="s">
        <v>15</v>
      </c>
    </row>
    <row r="218" spans="1:3" x14ac:dyDescent="0.25">
      <c r="A218" s="34">
        <v>41959.375</v>
      </c>
      <c r="B218" s="35">
        <v>41958</v>
      </c>
      <c r="C218" s="36">
        <v>13.5</v>
      </c>
    </row>
    <row r="219" spans="1:3" x14ac:dyDescent="0.25">
      <c r="A219" s="34">
        <v>41960.375</v>
      </c>
      <c r="B219" s="35">
        <v>41959</v>
      </c>
      <c r="C219" s="36">
        <v>0</v>
      </c>
    </row>
    <row r="220" spans="1:3" x14ac:dyDescent="0.25">
      <c r="A220" s="34">
        <v>41961.375</v>
      </c>
      <c r="B220" s="35">
        <v>41960</v>
      </c>
      <c r="C220" s="36">
        <v>0</v>
      </c>
    </row>
    <row r="221" spans="1:3" x14ac:dyDescent="0.25">
      <c r="A221" s="34">
        <v>41962.375</v>
      </c>
      <c r="B221" s="35">
        <v>41961</v>
      </c>
      <c r="C221" s="36">
        <v>0</v>
      </c>
    </row>
    <row r="222" spans="1:3" x14ac:dyDescent="0.25">
      <c r="A222" s="34">
        <v>41963.375</v>
      </c>
      <c r="B222" s="35">
        <v>41962</v>
      </c>
      <c r="C222" s="36">
        <v>25</v>
      </c>
    </row>
    <row r="223" spans="1:3" x14ac:dyDescent="0.25">
      <c r="A223" s="34">
        <v>41964.375</v>
      </c>
      <c r="B223" s="35">
        <v>41963</v>
      </c>
      <c r="C223" s="36">
        <v>0</v>
      </c>
    </row>
    <row r="224" spans="1:3" x14ac:dyDescent="0.25">
      <c r="A224" s="34">
        <v>41965.375</v>
      </c>
      <c r="B224" s="35">
        <v>41964</v>
      </c>
      <c r="C224" s="36">
        <v>0</v>
      </c>
    </row>
    <row r="225" spans="1:3" x14ac:dyDescent="0.25">
      <c r="A225" s="34">
        <v>41966.375</v>
      </c>
      <c r="B225" s="35">
        <v>41965</v>
      </c>
      <c r="C225" s="36">
        <v>0</v>
      </c>
    </row>
    <row r="226" spans="1:3" x14ac:dyDescent="0.25">
      <c r="A226" s="34">
        <v>41967.375</v>
      </c>
      <c r="B226" s="35">
        <v>41966</v>
      </c>
      <c r="C226" s="36">
        <v>3</v>
      </c>
    </row>
    <row r="227" spans="1:3" x14ac:dyDescent="0.25">
      <c r="A227" s="34">
        <v>41968.375</v>
      </c>
      <c r="B227" s="35">
        <v>41967</v>
      </c>
      <c r="C227" s="36">
        <v>0</v>
      </c>
    </row>
    <row r="228" spans="1:3" x14ac:dyDescent="0.25">
      <c r="A228" s="34">
        <v>41969.375</v>
      </c>
      <c r="B228" s="35">
        <v>41968</v>
      </c>
      <c r="C228" s="36">
        <v>0</v>
      </c>
    </row>
    <row r="229" spans="1:3" x14ac:dyDescent="0.25">
      <c r="A229" s="34">
        <v>41970.375</v>
      </c>
      <c r="B229" s="35">
        <v>41969</v>
      </c>
      <c r="C229" s="36">
        <v>0</v>
      </c>
    </row>
    <row r="230" spans="1:3" x14ac:dyDescent="0.25">
      <c r="A230" s="34">
        <v>41971.375</v>
      </c>
      <c r="B230" s="35">
        <v>41970</v>
      </c>
      <c r="C230" s="36">
        <v>0</v>
      </c>
    </row>
    <row r="231" spans="1:3" x14ac:dyDescent="0.25">
      <c r="A231" s="34">
        <v>41972.375</v>
      </c>
      <c r="B231" s="35">
        <v>41971</v>
      </c>
      <c r="C231" s="36">
        <v>0</v>
      </c>
    </row>
    <row r="232" spans="1:3" x14ac:dyDescent="0.25">
      <c r="A232" s="34">
        <v>41973.375</v>
      </c>
      <c r="B232" s="35">
        <v>41972</v>
      </c>
      <c r="C232" s="36">
        <v>0</v>
      </c>
    </row>
    <row r="233" spans="1:3" x14ac:dyDescent="0.25">
      <c r="A233" s="34">
        <v>41974.375</v>
      </c>
      <c r="B233" s="35">
        <v>41973</v>
      </c>
      <c r="C233" s="36">
        <v>2.5</v>
      </c>
    </row>
    <row r="234" spans="1:3" x14ac:dyDescent="0.25">
      <c r="A234" s="34">
        <v>41975.375</v>
      </c>
      <c r="B234" s="35">
        <v>41974</v>
      </c>
      <c r="C234" s="36">
        <v>0</v>
      </c>
    </row>
    <row r="235" spans="1:3" x14ac:dyDescent="0.25">
      <c r="A235" s="34">
        <v>41976.375</v>
      </c>
      <c r="B235" s="35">
        <v>41975</v>
      </c>
      <c r="C235" s="36">
        <v>0</v>
      </c>
    </row>
    <row r="236" spans="1:3" x14ac:dyDescent="0.25">
      <c r="A236" s="34">
        <v>41977.375</v>
      </c>
      <c r="B236" s="35">
        <v>41976</v>
      </c>
      <c r="C236" s="36">
        <v>0</v>
      </c>
    </row>
    <row r="237" spans="1:3" x14ac:dyDescent="0.25">
      <c r="A237" s="34">
        <v>41978.375</v>
      </c>
      <c r="B237" s="35">
        <v>41977</v>
      </c>
      <c r="C237" s="36">
        <v>0</v>
      </c>
    </row>
    <row r="238" spans="1:3" x14ac:dyDescent="0.25">
      <c r="A238" s="34">
        <v>41979.375</v>
      </c>
      <c r="B238" s="35">
        <v>41978</v>
      </c>
      <c r="C238" s="36">
        <v>0</v>
      </c>
    </row>
    <row r="239" spans="1:3" x14ac:dyDescent="0.25">
      <c r="A239" s="34">
        <v>41980.375</v>
      </c>
      <c r="B239" s="35">
        <v>41979</v>
      </c>
      <c r="C239" s="36">
        <v>0</v>
      </c>
    </row>
    <row r="240" spans="1:3" x14ac:dyDescent="0.25">
      <c r="A240" s="34">
        <v>41981.375</v>
      </c>
      <c r="B240" s="35">
        <v>41980</v>
      </c>
      <c r="C240" s="36">
        <v>0</v>
      </c>
    </row>
    <row r="241" spans="1:3" x14ac:dyDescent="0.25">
      <c r="A241" s="34">
        <v>41982.375</v>
      </c>
      <c r="B241" s="35">
        <v>41981</v>
      </c>
      <c r="C241" s="36">
        <v>0</v>
      </c>
    </row>
    <row r="242" spans="1:3" x14ac:dyDescent="0.25">
      <c r="A242" s="34">
        <v>41983.375</v>
      </c>
      <c r="B242" s="35">
        <v>41982</v>
      </c>
      <c r="C242" s="36">
        <v>0</v>
      </c>
    </row>
    <row r="243" spans="1:3" x14ac:dyDescent="0.25">
      <c r="A243" s="34">
        <v>41984.375</v>
      </c>
      <c r="B243" s="35">
        <v>41983</v>
      </c>
      <c r="C243" s="36">
        <v>0</v>
      </c>
    </row>
    <row r="244" spans="1:3" x14ac:dyDescent="0.25">
      <c r="A244" s="34">
        <v>41985.375</v>
      </c>
      <c r="B244" s="35">
        <v>41984</v>
      </c>
      <c r="C244" s="36">
        <v>0</v>
      </c>
    </row>
    <row r="245" spans="1:3" x14ac:dyDescent="0.25">
      <c r="A245" s="34">
        <v>41986.375</v>
      </c>
      <c r="B245" s="35">
        <v>41985</v>
      </c>
      <c r="C245" s="36">
        <v>0</v>
      </c>
    </row>
    <row r="246" spans="1:3" x14ac:dyDescent="0.25">
      <c r="A246" s="34">
        <v>41987.375</v>
      </c>
      <c r="B246" s="35">
        <v>41986</v>
      </c>
      <c r="C246" s="36">
        <v>0</v>
      </c>
    </row>
    <row r="247" spans="1:3" x14ac:dyDescent="0.25">
      <c r="A247" s="34">
        <v>41988.375</v>
      </c>
      <c r="B247" s="35">
        <v>41987</v>
      </c>
      <c r="C247" s="36">
        <v>0</v>
      </c>
    </row>
    <row r="248" spans="1:3" x14ac:dyDescent="0.25">
      <c r="A248" s="34">
        <v>41989.375</v>
      </c>
      <c r="B248" s="35">
        <v>41988</v>
      </c>
      <c r="C248" s="36">
        <v>0</v>
      </c>
    </row>
    <row r="249" spans="1:3" x14ac:dyDescent="0.25">
      <c r="A249" s="34">
        <v>41990.375</v>
      </c>
      <c r="B249" s="35">
        <v>41989</v>
      </c>
      <c r="C249" s="36">
        <v>0</v>
      </c>
    </row>
    <row r="250" spans="1:3" x14ac:dyDescent="0.25">
      <c r="A250" s="34">
        <v>41991.375</v>
      </c>
      <c r="B250" s="35">
        <v>41990</v>
      </c>
      <c r="C250" s="36">
        <v>0</v>
      </c>
    </row>
    <row r="251" spans="1:3" x14ac:dyDescent="0.25">
      <c r="A251" s="34">
        <v>41992.375</v>
      </c>
      <c r="B251" s="35">
        <v>41991</v>
      </c>
      <c r="C251" s="36">
        <v>0</v>
      </c>
    </row>
    <row r="252" spans="1:3" x14ac:dyDescent="0.25">
      <c r="A252" s="34">
        <v>41993.375</v>
      </c>
      <c r="B252" s="35">
        <v>41992</v>
      </c>
      <c r="C252" s="36">
        <v>0</v>
      </c>
    </row>
    <row r="253" spans="1:3" x14ac:dyDescent="0.25">
      <c r="A253" s="34">
        <v>41994.375</v>
      </c>
      <c r="B253" s="35">
        <v>41993</v>
      </c>
      <c r="C253" s="36">
        <v>0</v>
      </c>
    </row>
    <row r="254" spans="1:3" x14ac:dyDescent="0.25">
      <c r="A254" s="34">
        <v>41995.375</v>
      </c>
      <c r="B254" s="35">
        <v>41994</v>
      </c>
      <c r="C254" s="36">
        <v>0</v>
      </c>
    </row>
    <row r="255" spans="1:3" x14ac:dyDescent="0.25">
      <c r="A255" s="34">
        <v>41996.375</v>
      </c>
      <c r="B255" s="35">
        <v>41995</v>
      </c>
      <c r="C255" s="36">
        <v>0</v>
      </c>
    </row>
    <row r="256" spans="1:3" x14ac:dyDescent="0.25">
      <c r="A256" s="34">
        <v>41997.375</v>
      </c>
      <c r="B256" s="35">
        <v>41996</v>
      </c>
      <c r="C256" s="36">
        <v>0</v>
      </c>
    </row>
    <row r="257" spans="1:3" x14ac:dyDescent="0.25">
      <c r="A257" s="34">
        <v>41998.375</v>
      </c>
      <c r="B257" s="35">
        <v>41997</v>
      </c>
      <c r="C257" s="36">
        <v>0</v>
      </c>
    </row>
    <row r="258" spans="1:3" x14ac:dyDescent="0.25">
      <c r="A258" s="34">
        <v>41999.375</v>
      </c>
      <c r="B258" s="35">
        <v>41998</v>
      </c>
      <c r="C258" s="36">
        <v>0</v>
      </c>
    </row>
    <row r="259" spans="1:3" x14ac:dyDescent="0.25">
      <c r="A259" s="34">
        <v>42000.375</v>
      </c>
      <c r="B259" s="35">
        <v>41999</v>
      </c>
      <c r="C259" s="36">
        <v>0</v>
      </c>
    </row>
    <row r="260" spans="1:3" x14ac:dyDescent="0.25">
      <c r="A260" s="34">
        <v>42001.375</v>
      </c>
      <c r="B260" s="35">
        <v>42000</v>
      </c>
      <c r="C260" s="36">
        <v>0</v>
      </c>
    </row>
    <row r="261" spans="1:3" x14ac:dyDescent="0.25">
      <c r="A261" s="34">
        <v>42002.375</v>
      </c>
      <c r="B261" s="35">
        <v>42001</v>
      </c>
      <c r="C261" s="36">
        <v>0</v>
      </c>
    </row>
    <row r="262" spans="1:3" x14ac:dyDescent="0.25">
      <c r="A262" s="34">
        <v>42003.375</v>
      </c>
      <c r="B262" s="35">
        <v>42002</v>
      </c>
      <c r="C262" s="36">
        <v>0</v>
      </c>
    </row>
    <row r="263" spans="1:3" x14ac:dyDescent="0.25">
      <c r="A263" s="34">
        <v>42004.375</v>
      </c>
      <c r="B263" s="35">
        <v>42003</v>
      </c>
      <c r="C263" s="36">
        <v>0</v>
      </c>
    </row>
    <row r="264" spans="1:3" x14ac:dyDescent="0.25">
      <c r="A264" s="34">
        <v>42005.375</v>
      </c>
      <c r="B264" s="35">
        <v>42004</v>
      </c>
      <c r="C264" s="36">
        <v>0</v>
      </c>
    </row>
    <row r="265" spans="1:3" x14ac:dyDescent="0.25">
      <c r="A265" s="34">
        <v>42006.375</v>
      </c>
      <c r="B265" s="35">
        <v>42005</v>
      </c>
      <c r="C265" s="36">
        <v>0</v>
      </c>
    </row>
    <row r="266" spans="1:3" x14ac:dyDescent="0.25">
      <c r="A266" s="34">
        <v>42007.375</v>
      </c>
      <c r="B266" s="35">
        <v>42006</v>
      </c>
      <c r="C266" s="36">
        <v>0</v>
      </c>
    </row>
    <row r="267" spans="1:3" x14ac:dyDescent="0.25">
      <c r="A267" s="34">
        <v>42008.375</v>
      </c>
      <c r="B267" s="35">
        <v>42007</v>
      </c>
      <c r="C267" s="36">
        <v>0</v>
      </c>
    </row>
    <row r="268" spans="1:3" x14ac:dyDescent="0.25">
      <c r="A268" s="34">
        <v>42009.375</v>
      </c>
      <c r="B268" s="35">
        <v>42008</v>
      </c>
      <c r="C268" s="36">
        <v>0</v>
      </c>
    </row>
    <row r="269" spans="1:3" x14ac:dyDescent="0.25">
      <c r="A269" s="34">
        <v>42010.375</v>
      </c>
      <c r="B269" s="35">
        <v>42009</v>
      </c>
      <c r="C269" s="36">
        <v>0</v>
      </c>
    </row>
    <row r="270" spans="1:3" x14ac:dyDescent="0.25">
      <c r="A270" s="34">
        <v>42011.375</v>
      </c>
      <c r="B270" s="35">
        <v>42010</v>
      </c>
      <c r="C270" s="36">
        <v>0</v>
      </c>
    </row>
    <row r="271" spans="1:3" x14ac:dyDescent="0.25">
      <c r="A271" s="34">
        <v>42012.375</v>
      </c>
      <c r="B271" s="35">
        <v>42011</v>
      </c>
      <c r="C271" s="36">
        <v>0</v>
      </c>
    </row>
    <row r="272" spans="1:3" x14ac:dyDescent="0.25">
      <c r="A272" s="34">
        <v>42013.375</v>
      </c>
      <c r="B272" s="35">
        <v>42012</v>
      </c>
      <c r="C272" s="36">
        <v>0</v>
      </c>
    </row>
    <row r="273" spans="1:3" x14ac:dyDescent="0.25">
      <c r="A273" s="34">
        <v>42014.375</v>
      </c>
      <c r="B273" s="35">
        <v>42013</v>
      </c>
      <c r="C273" s="36">
        <v>0</v>
      </c>
    </row>
    <row r="274" spans="1:3" x14ac:dyDescent="0.25">
      <c r="A274" s="34">
        <v>42015.375</v>
      </c>
      <c r="B274" s="35">
        <v>42014</v>
      </c>
      <c r="C274" s="36">
        <v>0</v>
      </c>
    </row>
    <row r="275" spans="1:3" x14ac:dyDescent="0.25">
      <c r="A275" s="34">
        <v>42016.375</v>
      </c>
      <c r="B275" s="35">
        <v>42015</v>
      </c>
      <c r="C275" s="36">
        <v>0</v>
      </c>
    </row>
    <row r="276" spans="1:3" x14ac:dyDescent="0.25">
      <c r="A276" s="34">
        <v>42017.375</v>
      </c>
      <c r="B276" s="35">
        <v>42016</v>
      </c>
      <c r="C276" s="36">
        <v>0</v>
      </c>
    </row>
    <row r="277" spans="1:3" x14ac:dyDescent="0.25">
      <c r="A277" s="34">
        <v>42018.375</v>
      </c>
      <c r="B277" s="35">
        <v>42017</v>
      </c>
      <c r="C277" s="36">
        <v>0</v>
      </c>
    </row>
    <row r="278" spans="1:3" x14ac:dyDescent="0.25">
      <c r="A278" s="34">
        <v>42019.375</v>
      </c>
      <c r="B278" s="35">
        <v>42018</v>
      </c>
      <c r="C278" s="36">
        <v>0</v>
      </c>
    </row>
    <row r="279" spans="1:3" x14ac:dyDescent="0.25">
      <c r="A279" s="34">
        <v>42020.375</v>
      </c>
      <c r="B279" s="35">
        <v>42019</v>
      </c>
      <c r="C279" s="36">
        <v>0</v>
      </c>
    </row>
    <row r="280" spans="1:3" x14ac:dyDescent="0.25">
      <c r="A280" s="34">
        <v>42021.375</v>
      </c>
      <c r="B280" s="35">
        <v>42020</v>
      </c>
      <c r="C280" s="36">
        <v>0</v>
      </c>
    </row>
    <row r="281" spans="1:3" x14ac:dyDescent="0.25">
      <c r="A281" s="34">
        <v>42022.375</v>
      </c>
      <c r="B281" s="35">
        <v>42021</v>
      </c>
      <c r="C281" s="36">
        <v>0</v>
      </c>
    </row>
    <row r="282" spans="1:3" x14ac:dyDescent="0.25">
      <c r="A282" s="34">
        <v>42023.375</v>
      </c>
      <c r="B282" s="35">
        <v>42022</v>
      </c>
      <c r="C282" s="36">
        <v>0</v>
      </c>
    </row>
    <row r="283" spans="1:3" x14ac:dyDescent="0.25">
      <c r="A283" s="34">
        <v>42024.375</v>
      </c>
      <c r="B283" s="35">
        <v>42023</v>
      </c>
      <c r="C283" s="36">
        <v>0</v>
      </c>
    </row>
    <row r="284" spans="1:3" x14ac:dyDescent="0.25">
      <c r="A284" s="34">
        <v>42025.375</v>
      </c>
      <c r="B284" s="35">
        <v>42024</v>
      </c>
      <c r="C284" s="36">
        <v>0</v>
      </c>
    </row>
    <row r="285" spans="1:3" x14ac:dyDescent="0.25">
      <c r="A285" s="34">
        <v>42026.375</v>
      </c>
      <c r="B285" s="35">
        <v>42025</v>
      </c>
      <c r="C285" s="36">
        <v>0</v>
      </c>
    </row>
    <row r="286" spans="1:3" x14ac:dyDescent="0.25">
      <c r="A286" s="34">
        <v>42027.375</v>
      </c>
      <c r="B286" s="35">
        <v>42026</v>
      </c>
      <c r="C286" s="36">
        <v>0</v>
      </c>
    </row>
    <row r="287" spans="1:3" x14ac:dyDescent="0.25">
      <c r="A287" s="34">
        <v>42028.375</v>
      </c>
      <c r="B287" s="35">
        <v>42027</v>
      </c>
      <c r="C287" s="36">
        <v>0</v>
      </c>
    </row>
    <row r="288" spans="1:3" x14ac:dyDescent="0.25">
      <c r="A288" s="34">
        <v>42029.375</v>
      </c>
      <c r="B288" s="35">
        <v>42028</v>
      </c>
      <c r="C288" s="36">
        <v>0</v>
      </c>
    </row>
    <row r="289" spans="1:3" x14ac:dyDescent="0.25">
      <c r="A289" s="34">
        <v>42030.375</v>
      </c>
      <c r="B289" s="35">
        <v>42029</v>
      </c>
      <c r="C289" s="36">
        <v>0</v>
      </c>
    </row>
    <row r="290" spans="1:3" x14ac:dyDescent="0.25">
      <c r="A290" s="34">
        <v>42031.375</v>
      </c>
      <c r="B290" s="35">
        <v>42030</v>
      </c>
      <c r="C290" s="36">
        <v>0</v>
      </c>
    </row>
    <row r="291" spans="1:3" x14ac:dyDescent="0.25">
      <c r="A291" s="34">
        <v>42032.375</v>
      </c>
      <c r="B291" s="35">
        <v>42031</v>
      </c>
      <c r="C291" s="36">
        <v>0</v>
      </c>
    </row>
    <row r="292" spans="1:3" x14ac:dyDescent="0.25">
      <c r="A292" s="34">
        <v>42033.375</v>
      </c>
      <c r="B292" s="35">
        <v>42032</v>
      </c>
      <c r="C292" s="36">
        <v>0</v>
      </c>
    </row>
    <row r="293" spans="1:3" x14ac:dyDescent="0.25">
      <c r="A293" s="34">
        <v>42034.375</v>
      </c>
      <c r="B293" s="35">
        <v>42033</v>
      </c>
      <c r="C293" s="36">
        <v>0</v>
      </c>
    </row>
    <row r="294" spans="1:3" x14ac:dyDescent="0.25">
      <c r="A294" s="34">
        <v>42035.375</v>
      </c>
      <c r="B294" s="35">
        <v>42034</v>
      </c>
      <c r="C294" s="36">
        <v>0</v>
      </c>
    </row>
    <row r="295" spans="1:3" x14ac:dyDescent="0.25">
      <c r="A295" s="34">
        <v>42036.375</v>
      </c>
      <c r="B295" s="35">
        <v>42035</v>
      </c>
      <c r="C295" s="36">
        <v>0</v>
      </c>
    </row>
    <row r="296" spans="1:3" x14ac:dyDescent="0.25">
      <c r="A296" s="34">
        <v>42037.375</v>
      </c>
      <c r="B296" s="35">
        <v>42036</v>
      </c>
      <c r="C296" s="36">
        <v>0</v>
      </c>
    </row>
    <row r="297" spans="1:3" x14ac:dyDescent="0.25">
      <c r="A297" s="34">
        <v>42038.375</v>
      </c>
      <c r="B297" s="35">
        <v>42037</v>
      </c>
      <c r="C297" s="36">
        <v>0</v>
      </c>
    </row>
    <row r="298" spans="1:3" x14ac:dyDescent="0.25">
      <c r="A298" s="34">
        <v>42039.375</v>
      </c>
      <c r="B298" s="35">
        <v>42038</v>
      </c>
      <c r="C298" s="36">
        <v>0</v>
      </c>
    </row>
    <row r="299" spans="1:3" x14ac:dyDescent="0.25">
      <c r="A299" s="34">
        <v>42040.375</v>
      </c>
      <c r="B299" s="35">
        <v>42039</v>
      </c>
      <c r="C299" s="36">
        <v>0</v>
      </c>
    </row>
    <row r="300" spans="1:3" x14ac:dyDescent="0.25">
      <c r="A300" s="34">
        <v>42041.375</v>
      </c>
      <c r="B300" s="35">
        <v>42040</v>
      </c>
      <c r="C300" s="36">
        <v>0</v>
      </c>
    </row>
    <row r="301" spans="1:3" x14ac:dyDescent="0.25">
      <c r="A301" s="34">
        <v>42042.375</v>
      </c>
      <c r="B301" s="35">
        <v>42041</v>
      </c>
      <c r="C301" s="36">
        <v>0</v>
      </c>
    </row>
    <row r="302" spans="1:3" x14ac:dyDescent="0.25">
      <c r="A302" s="34">
        <v>42043.375</v>
      </c>
      <c r="B302" s="35">
        <v>42042</v>
      </c>
      <c r="C302" s="36">
        <v>0</v>
      </c>
    </row>
    <row r="303" spans="1:3" x14ac:dyDescent="0.25">
      <c r="A303" s="34">
        <v>42044.375</v>
      </c>
      <c r="B303" s="35">
        <v>42043</v>
      </c>
      <c r="C303" s="36">
        <v>0</v>
      </c>
    </row>
    <row r="304" spans="1:3" x14ac:dyDescent="0.25">
      <c r="A304" s="34">
        <v>42045.375</v>
      </c>
      <c r="B304" s="35">
        <v>42044</v>
      </c>
      <c r="C304" s="36">
        <v>0</v>
      </c>
    </row>
    <row r="305" spans="1:3" x14ac:dyDescent="0.25">
      <c r="A305" s="34">
        <v>42046.375</v>
      </c>
      <c r="B305" s="35">
        <v>42045</v>
      </c>
      <c r="C305" s="36">
        <v>0</v>
      </c>
    </row>
    <row r="306" spans="1:3" x14ac:dyDescent="0.25">
      <c r="A306" s="34">
        <v>42047.375</v>
      </c>
      <c r="B306" s="35">
        <v>42046</v>
      </c>
      <c r="C306" s="36">
        <v>0</v>
      </c>
    </row>
    <row r="307" spans="1:3" x14ac:dyDescent="0.25">
      <c r="A307" s="34">
        <v>42048.375</v>
      </c>
      <c r="B307" s="35">
        <v>42047</v>
      </c>
      <c r="C307" s="36">
        <v>0</v>
      </c>
    </row>
    <row r="308" spans="1:3" x14ac:dyDescent="0.25">
      <c r="A308" s="34">
        <v>42049.375</v>
      </c>
      <c r="B308" s="35">
        <v>42048</v>
      </c>
      <c r="C308" s="36">
        <v>0</v>
      </c>
    </row>
    <row r="309" spans="1:3" x14ac:dyDescent="0.25">
      <c r="A309" s="34">
        <v>42050.375</v>
      </c>
      <c r="B309" s="35">
        <v>42049</v>
      </c>
      <c r="C309" s="36">
        <v>0</v>
      </c>
    </row>
    <row r="310" spans="1:3" x14ac:dyDescent="0.25">
      <c r="A310" s="34">
        <v>42051.375</v>
      </c>
      <c r="B310" s="35">
        <v>42050</v>
      </c>
      <c r="C310" s="36">
        <v>0</v>
      </c>
    </row>
    <row r="311" spans="1:3" x14ac:dyDescent="0.25">
      <c r="A311" s="34">
        <v>42052.375</v>
      </c>
      <c r="B311" s="35">
        <v>42051</v>
      </c>
      <c r="C311" s="36">
        <v>0</v>
      </c>
    </row>
    <row r="312" spans="1:3" x14ac:dyDescent="0.25">
      <c r="A312" s="34">
        <v>42053.375</v>
      </c>
      <c r="B312" s="35">
        <v>42052</v>
      </c>
      <c r="C312" s="36">
        <v>0</v>
      </c>
    </row>
    <row r="313" spans="1:3" x14ac:dyDescent="0.25">
      <c r="A313" s="34">
        <v>42054.375</v>
      </c>
      <c r="B313" s="35">
        <v>42053</v>
      </c>
      <c r="C313" s="36">
        <v>0</v>
      </c>
    </row>
    <row r="314" spans="1:3" x14ac:dyDescent="0.25">
      <c r="A314" s="34">
        <v>42055.375</v>
      </c>
      <c r="B314" s="35">
        <v>42054</v>
      </c>
      <c r="C314" s="36">
        <v>0</v>
      </c>
    </row>
    <row r="315" spans="1:3" x14ac:dyDescent="0.25">
      <c r="A315" s="34">
        <v>42056.375</v>
      </c>
      <c r="B315" s="35">
        <v>42055</v>
      </c>
      <c r="C315" s="36">
        <v>0</v>
      </c>
    </row>
    <row r="316" spans="1:3" x14ac:dyDescent="0.25">
      <c r="A316" s="34">
        <v>42057.375</v>
      </c>
      <c r="B316" s="35">
        <v>42056</v>
      </c>
      <c r="C316" s="36">
        <v>0</v>
      </c>
    </row>
    <row r="317" spans="1:3" x14ac:dyDescent="0.25">
      <c r="A317" s="34">
        <v>42058.375</v>
      </c>
      <c r="B317" s="35">
        <v>42057</v>
      </c>
      <c r="C317" s="36">
        <v>0</v>
      </c>
    </row>
    <row r="318" spans="1:3" x14ac:dyDescent="0.25">
      <c r="A318" s="34">
        <v>42059.375</v>
      </c>
      <c r="B318" s="35">
        <v>42058</v>
      </c>
      <c r="C318" s="36">
        <v>0</v>
      </c>
    </row>
    <row r="319" spans="1:3" x14ac:dyDescent="0.25">
      <c r="A319" s="34">
        <v>42060.375</v>
      </c>
      <c r="B319" s="35">
        <v>42059</v>
      </c>
      <c r="C319" s="36">
        <v>0</v>
      </c>
    </row>
    <row r="320" spans="1:3" x14ac:dyDescent="0.25">
      <c r="A320" s="34">
        <v>42061.375</v>
      </c>
      <c r="B320" s="35">
        <v>42060</v>
      </c>
      <c r="C320" s="36">
        <v>0</v>
      </c>
    </row>
    <row r="321" spans="1:3" x14ac:dyDescent="0.25">
      <c r="A321" s="34">
        <v>42062.375</v>
      </c>
      <c r="B321" s="35">
        <v>42061</v>
      </c>
      <c r="C321" s="36">
        <v>0</v>
      </c>
    </row>
    <row r="322" spans="1:3" x14ac:dyDescent="0.25">
      <c r="A322" s="34">
        <v>42063.375</v>
      </c>
      <c r="B322" s="35">
        <v>42062</v>
      </c>
      <c r="C322" s="36">
        <v>0</v>
      </c>
    </row>
    <row r="323" spans="1:3" x14ac:dyDescent="0.25">
      <c r="A323" s="34">
        <v>42064.375</v>
      </c>
      <c r="B323" s="35">
        <v>42063</v>
      </c>
      <c r="C323" s="36">
        <v>0</v>
      </c>
    </row>
    <row r="324" spans="1:3" x14ac:dyDescent="0.25">
      <c r="A324" s="34">
        <v>42065.375</v>
      </c>
      <c r="B324" s="35">
        <v>42064</v>
      </c>
      <c r="C324" s="36">
        <v>0</v>
      </c>
    </row>
    <row r="325" spans="1:3" x14ac:dyDescent="0.25">
      <c r="A325" s="34">
        <v>42066.375</v>
      </c>
      <c r="B325" s="35">
        <v>42065</v>
      </c>
      <c r="C325" s="36">
        <v>0</v>
      </c>
    </row>
    <row r="326" spans="1:3" x14ac:dyDescent="0.25">
      <c r="A326" s="34">
        <v>42067.375</v>
      </c>
      <c r="B326" s="35">
        <v>42066</v>
      </c>
      <c r="C326" s="36">
        <v>0</v>
      </c>
    </row>
    <row r="327" spans="1:3" x14ac:dyDescent="0.25">
      <c r="A327" s="34">
        <v>42068.375</v>
      </c>
      <c r="B327" s="35">
        <v>42067</v>
      </c>
      <c r="C327" s="36">
        <v>0</v>
      </c>
    </row>
    <row r="328" spans="1:3" x14ac:dyDescent="0.25">
      <c r="A328" s="34">
        <v>42069.375</v>
      </c>
      <c r="B328" s="35">
        <v>42068</v>
      </c>
      <c r="C328" s="36">
        <v>0</v>
      </c>
    </row>
    <row r="329" spans="1:3" x14ac:dyDescent="0.25">
      <c r="A329" s="34">
        <v>42070.375</v>
      </c>
      <c r="B329" s="35">
        <v>42069</v>
      </c>
      <c r="C329" s="36">
        <v>0</v>
      </c>
    </row>
    <row r="330" spans="1:3" x14ac:dyDescent="0.25">
      <c r="A330" s="34">
        <v>42071.375</v>
      </c>
      <c r="B330" s="35">
        <v>42070</v>
      </c>
      <c r="C330" s="36">
        <v>0</v>
      </c>
    </row>
    <row r="331" spans="1:3" x14ac:dyDescent="0.25">
      <c r="A331" s="34">
        <v>42072.375</v>
      </c>
      <c r="B331" s="35">
        <v>42071</v>
      </c>
      <c r="C331" s="36">
        <v>5</v>
      </c>
    </row>
    <row r="332" spans="1:3" x14ac:dyDescent="0.25">
      <c r="A332" s="34">
        <v>42073.375</v>
      </c>
      <c r="B332" s="35">
        <v>42072</v>
      </c>
      <c r="C332" s="36">
        <v>0</v>
      </c>
    </row>
    <row r="333" spans="1:3" x14ac:dyDescent="0.25">
      <c r="A333" s="34">
        <v>42074.375</v>
      </c>
      <c r="B333" s="35">
        <v>42073</v>
      </c>
      <c r="C333" s="36">
        <v>0</v>
      </c>
    </row>
    <row r="334" spans="1:3" x14ac:dyDescent="0.25">
      <c r="A334" s="34">
        <v>42075.375</v>
      </c>
      <c r="B334" s="35">
        <v>42074</v>
      </c>
      <c r="C334" s="36">
        <v>0</v>
      </c>
    </row>
    <row r="335" spans="1:3" x14ac:dyDescent="0.25">
      <c r="A335" s="34">
        <v>42076.375</v>
      </c>
      <c r="B335" s="35">
        <v>42075</v>
      </c>
      <c r="C335" s="36">
        <v>0</v>
      </c>
    </row>
    <row r="336" spans="1:3" x14ac:dyDescent="0.25">
      <c r="A336" s="34">
        <v>42077.375</v>
      </c>
      <c r="B336" s="35">
        <v>42076</v>
      </c>
      <c r="C336" s="36">
        <v>0</v>
      </c>
    </row>
    <row r="337" spans="1:3" x14ac:dyDescent="0.25">
      <c r="A337" s="34">
        <v>42078.375</v>
      </c>
      <c r="B337" s="35">
        <v>42077</v>
      </c>
      <c r="C337" s="36">
        <v>0</v>
      </c>
    </row>
    <row r="338" spans="1:3" x14ac:dyDescent="0.25">
      <c r="A338" s="34">
        <v>42079.375</v>
      </c>
      <c r="B338" s="35">
        <v>42078</v>
      </c>
      <c r="C338" s="36">
        <v>0</v>
      </c>
    </row>
    <row r="339" spans="1:3" x14ac:dyDescent="0.25">
      <c r="A339" s="34">
        <v>42080.375</v>
      </c>
      <c r="B339" s="35">
        <v>42079</v>
      </c>
      <c r="C339" s="36">
        <v>0</v>
      </c>
    </row>
    <row r="340" spans="1:3" x14ac:dyDescent="0.25">
      <c r="A340" s="34">
        <v>42081.375</v>
      </c>
      <c r="B340" s="35">
        <v>42080</v>
      </c>
      <c r="C340" s="36">
        <v>0</v>
      </c>
    </row>
    <row r="341" spans="1:3" x14ac:dyDescent="0.25">
      <c r="A341" s="34">
        <v>42082.375</v>
      </c>
      <c r="B341" s="35">
        <v>42081</v>
      </c>
      <c r="C341" s="36">
        <v>0</v>
      </c>
    </row>
    <row r="342" spans="1:3" x14ac:dyDescent="0.25">
      <c r="A342" s="34">
        <v>42083.375</v>
      </c>
      <c r="B342" s="35">
        <v>42082</v>
      </c>
      <c r="C342" s="36">
        <v>3.5</v>
      </c>
    </row>
    <row r="343" spans="1:3" x14ac:dyDescent="0.25">
      <c r="A343" s="34">
        <v>42084.375</v>
      </c>
      <c r="B343" s="35">
        <v>42083</v>
      </c>
      <c r="C343" s="36">
        <v>0</v>
      </c>
    </row>
    <row r="344" spans="1:3" x14ac:dyDescent="0.25">
      <c r="A344" s="34">
        <v>42085.375</v>
      </c>
      <c r="B344" s="35">
        <v>42084</v>
      </c>
      <c r="C344" s="36">
        <v>0</v>
      </c>
    </row>
    <row r="345" spans="1:3" x14ac:dyDescent="0.25">
      <c r="A345" s="34">
        <v>42086.375</v>
      </c>
      <c r="B345" s="35">
        <v>42085</v>
      </c>
      <c r="C345" s="36">
        <v>0</v>
      </c>
    </row>
    <row r="346" spans="1:3" x14ac:dyDescent="0.25">
      <c r="A346" s="34">
        <v>42087.375</v>
      </c>
      <c r="B346" s="35">
        <v>42086</v>
      </c>
      <c r="C346" s="36">
        <v>0</v>
      </c>
    </row>
    <row r="347" spans="1:3" x14ac:dyDescent="0.25">
      <c r="A347" s="34">
        <v>42088.375</v>
      </c>
      <c r="B347" s="35">
        <v>42087</v>
      </c>
      <c r="C347" s="36">
        <v>0</v>
      </c>
    </row>
    <row r="348" spans="1:3" x14ac:dyDescent="0.25">
      <c r="A348" s="34">
        <v>42089.375</v>
      </c>
      <c r="B348" s="35">
        <v>42088</v>
      </c>
      <c r="C348" s="36">
        <v>0</v>
      </c>
    </row>
    <row r="349" spans="1:3" x14ac:dyDescent="0.25">
      <c r="A349" s="34">
        <v>42090.375</v>
      </c>
      <c r="B349" s="35">
        <v>42089</v>
      </c>
      <c r="C349" s="36">
        <v>0</v>
      </c>
    </row>
    <row r="350" spans="1:3" x14ac:dyDescent="0.25">
      <c r="A350" s="34">
        <v>42091.375</v>
      </c>
      <c r="B350" s="35">
        <v>42090</v>
      </c>
      <c r="C350" s="36">
        <v>0</v>
      </c>
    </row>
    <row r="351" spans="1:3" x14ac:dyDescent="0.25">
      <c r="A351" s="34">
        <v>42092.375</v>
      </c>
      <c r="B351" s="35">
        <v>42091</v>
      </c>
      <c r="C351" s="36">
        <v>0</v>
      </c>
    </row>
    <row r="352" spans="1:3" x14ac:dyDescent="0.25">
      <c r="A352" s="34">
        <v>42093.375</v>
      </c>
      <c r="B352" s="35">
        <v>42092</v>
      </c>
      <c r="C352" s="36">
        <v>0</v>
      </c>
    </row>
    <row r="353" spans="1:3" x14ac:dyDescent="0.25">
      <c r="A353" s="34">
        <v>42094.375</v>
      </c>
      <c r="B353" s="35">
        <v>42093</v>
      </c>
      <c r="C353" s="36">
        <v>0</v>
      </c>
    </row>
    <row r="354" spans="1:3" x14ac:dyDescent="0.25">
      <c r="A354" s="34">
        <v>42095.375</v>
      </c>
      <c r="B354" s="35">
        <v>42094</v>
      </c>
      <c r="C354" s="36">
        <v>0</v>
      </c>
    </row>
    <row r="355" spans="1:3" x14ac:dyDescent="0.25">
      <c r="A355" s="34">
        <v>42096.375</v>
      </c>
      <c r="B355" s="35">
        <v>42095</v>
      </c>
      <c r="C355" s="36">
        <v>0</v>
      </c>
    </row>
    <row r="356" spans="1:3" x14ac:dyDescent="0.25">
      <c r="A356" s="34">
        <v>42097.375</v>
      </c>
      <c r="B356" s="35">
        <v>42096</v>
      </c>
      <c r="C356" s="36">
        <v>0</v>
      </c>
    </row>
    <row r="357" spans="1:3" x14ac:dyDescent="0.25">
      <c r="A357" s="34">
        <v>42098.375</v>
      </c>
      <c r="B357" s="35">
        <v>42097</v>
      </c>
      <c r="C357" s="36">
        <v>0</v>
      </c>
    </row>
    <row r="358" spans="1:3" x14ac:dyDescent="0.25">
      <c r="A358" s="34">
        <v>42099.375</v>
      </c>
      <c r="B358" s="35">
        <v>42098</v>
      </c>
      <c r="C358" s="36">
        <v>0</v>
      </c>
    </row>
    <row r="359" spans="1:3" x14ac:dyDescent="0.25">
      <c r="A359" s="34">
        <v>42100.375</v>
      </c>
      <c r="B359" s="35">
        <v>42099</v>
      </c>
      <c r="C359" s="36">
        <v>0</v>
      </c>
    </row>
    <row r="360" spans="1:3" x14ac:dyDescent="0.25">
      <c r="A360" s="34">
        <v>42101.375</v>
      </c>
      <c r="B360" s="35">
        <v>42100</v>
      </c>
      <c r="C360" s="36">
        <v>7.2</v>
      </c>
    </row>
    <row r="361" spans="1:3" x14ac:dyDescent="0.25">
      <c r="A361" s="34">
        <v>42102.375</v>
      </c>
      <c r="B361" s="35">
        <v>42101</v>
      </c>
      <c r="C361" s="36">
        <v>0</v>
      </c>
    </row>
    <row r="362" spans="1:3" x14ac:dyDescent="0.25">
      <c r="A362" s="34">
        <v>42103.375</v>
      </c>
      <c r="B362" s="35">
        <v>42102</v>
      </c>
      <c r="C362" s="36">
        <v>0</v>
      </c>
    </row>
    <row r="363" spans="1:3" x14ac:dyDescent="0.25">
      <c r="A363" s="34">
        <v>42104.375</v>
      </c>
      <c r="B363" s="35">
        <v>42103</v>
      </c>
      <c r="C363" s="36" t="s">
        <v>15</v>
      </c>
    </row>
    <row r="364" spans="1:3" x14ac:dyDescent="0.25">
      <c r="A364" s="34">
        <v>42105.375</v>
      </c>
      <c r="B364" s="35">
        <v>42104</v>
      </c>
      <c r="C364" s="36">
        <v>0</v>
      </c>
    </row>
    <row r="365" spans="1:3" x14ac:dyDescent="0.25">
      <c r="A365" s="34">
        <v>42106.375</v>
      </c>
      <c r="B365" s="35">
        <v>42105</v>
      </c>
      <c r="C365" s="36">
        <v>0</v>
      </c>
    </row>
    <row r="366" spans="1:3" x14ac:dyDescent="0.25">
      <c r="A366" s="34">
        <v>42107.375</v>
      </c>
      <c r="B366" s="35">
        <v>42106</v>
      </c>
      <c r="C366" s="36">
        <v>0</v>
      </c>
    </row>
    <row r="367" spans="1:3" x14ac:dyDescent="0.25">
      <c r="A367" s="34">
        <v>42108.375</v>
      </c>
      <c r="B367" s="35">
        <v>42107</v>
      </c>
      <c r="C367" s="36">
        <v>4.2</v>
      </c>
    </row>
    <row r="368" spans="1:3" x14ac:dyDescent="0.25">
      <c r="A368" s="34">
        <v>42109.375</v>
      </c>
      <c r="B368" s="35">
        <v>42108</v>
      </c>
      <c r="C368" s="36">
        <v>0</v>
      </c>
    </row>
    <row r="369" spans="1:3" x14ac:dyDescent="0.25">
      <c r="A369" s="34">
        <v>42110.375</v>
      </c>
      <c r="B369" s="35">
        <v>42109</v>
      </c>
      <c r="C369" s="36">
        <v>0</v>
      </c>
    </row>
    <row r="370" spans="1:3" x14ac:dyDescent="0.25">
      <c r="A370" s="34">
        <v>42111.375</v>
      </c>
      <c r="B370" s="35">
        <v>42110</v>
      </c>
      <c r="C370" s="36">
        <v>0</v>
      </c>
    </row>
    <row r="371" spans="1:3" x14ac:dyDescent="0.25">
      <c r="A371" s="34">
        <v>42112.375</v>
      </c>
      <c r="B371" s="35">
        <v>42111</v>
      </c>
      <c r="C371" s="36">
        <v>0</v>
      </c>
    </row>
    <row r="372" spans="1:3" x14ac:dyDescent="0.25">
      <c r="A372" s="34">
        <v>42113.375</v>
      </c>
      <c r="B372" s="35">
        <v>42112</v>
      </c>
      <c r="C372" s="36">
        <v>0</v>
      </c>
    </row>
    <row r="373" spans="1:3" x14ac:dyDescent="0.25">
      <c r="A373" s="34">
        <v>42114.375</v>
      </c>
      <c r="B373" s="35">
        <v>42113</v>
      </c>
      <c r="C373" s="36">
        <v>0</v>
      </c>
    </row>
    <row r="374" spans="1:3" x14ac:dyDescent="0.25">
      <c r="A374" s="34">
        <v>42115.375</v>
      </c>
      <c r="B374" s="35">
        <v>42114</v>
      </c>
      <c r="C374" s="36">
        <v>0</v>
      </c>
    </row>
    <row r="375" spans="1:3" x14ac:dyDescent="0.25">
      <c r="A375" s="34">
        <v>42116.375</v>
      </c>
      <c r="B375" s="35">
        <v>42115</v>
      </c>
      <c r="C375" s="36">
        <v>20.100000000000001</v>
      </c>
    </row>
    <row r="376" spans="1:3" x14ac:dyDescent="0.25">
      <c r="A376" s="34">
        <v>42117.375</v>
      </c>
      <c r="B376" s="35">
        <v>42116</v>
      </c>
      <c r="C376" s="36">
        <v>0</v>
      </c>
    </row>
    <row r="377" spans="1:3" x14ac:dyDescent="0.25">
      <c r="A377" s="34">
        <v>42118.375</v>
      </c>
      <c r="B377" s="35">
        <v>42117</v>
      </c>
      <c r="C377" s="36">
        <v>0</v>
      </c>
    </row>
    <row r="378" spans="1:3" x14ac:dyDescent="0.25">
      <c r="A378" s="34">
        <v>42119.375</v>
      </c>
      <c r="B378" s="35">
        <v>42118</v>
      </c>
      <c r="C378" s="36">
        <v>0</v>
      </c>
    </row>
    <row r="379" spans="1:3" x14ac:dyDescent="0.25">
      <c r="A379" s="34">
        <v>42120.375</v>
      </c>
      <c r="B379" s="35">
        <v>42119</v>
      </c>
      <c r="C379" s="36">
        <v>2.4</v>
      </c>
    </row>
    <row r="380" spans="1:3" x14ac:dyDescent="0.25">
      <c r="A380" s="34">
        <v>42121.375</v>
      </c>
      <c r="B380" s="35">
        <v>42120</v>
      </c>
      <c r="C380" s="36">
        <v>0</v>
      </c>
    </row>
    <row r="381" spans="1:3" x14ac:dyDescent="0.25">
      <c r="A381" s="34">
        <v>42122.375</v>
      </c>
      <c r="B381" s="35">
        <v>42121</v>
      </c>
      <c r="C381" s="36">
        <v>0</v>
      </c>
    </row>
    <row r="382" spans="1:3" x14ac:dyDescent="0.25">
      <c r="A382" s="34">
        <v>42123.375</v>
      </c>
      <c r="B382" s="35">
        <v>42122</v>
      </c>
      <c r="C382" s="36">
        <v>0</v>
      </c>
    </row>
    <row r="383" spans="1:3" x14ac:dyDescent="0.25">
      <c r="A383" s="34">
        <v>42124.375</v>
      </c>
      <c r="B383" s="35">
        <v>42123</v>
      </c>
      <c r="C383" s="36">
        <v>0</v>
      </c>
    </row>
    <row r="384" spans="1:3" x14ac:dyDescent="0.25">
      <c r="A384" s="34">
        <v>42125.375</v>
      </c>
      <c r="B384" s="35">
        <v>42124</v>
      </c>
      <c r="C384" s="36" t="s">
        <v>15</v>
      </c>
    </row>
    <row r="385" spans="1:3" x14ac:dyDescent="0.25">
      <c r="A385" s="34">
        <v>42126.375</v>
      </c>
      <c r="B385" s="35">
        <v>42125</v>
      </c>
      <c r="C385" s="36">
        <v>0</v>
      </c>
    </row>
    <row r="386" spans="1:3" x14ac:dyDescent="0.25">
      <c r="A386" s="34">
        <v>42127.375</v>
      </c>
      <c r="B386" s="35">
        <v>42126</v>
      </c>
      <c r="C386" s="36">
        <v>0</v>
      </c>
    </row>
    <row r="387" spans="1:3" x14ac:dyDescent="0.25">
      <c r="A387" s="34">
        <v>42128.375</v>
      </c>
      <c r="B387" s="35">
        <v>42127</v>
      </c>
      <c r="C387" s="36">
        <v>0</v>
      </c>
    </row>
    <row r="388" spans="1:3" x14ac:dyDescent="0.25">
      <c r="A388" s="34">
        <v>42129.375</v>
      </c>
      <c r="B388" s="35">
        <v>42128</v>
      </c>
      <c r="C388" s="36">
        <v>0</v>
      </c>
    </row>
    <row r="389" spans="1:3" x14ac:dyDescent="0.25">
      <c r="A389" s="34">
        <v>42130.375</v>
      </c>
      <c r="B389" s="35">
        <v>42129</v>
      </c>
      <c r="C389" s="36">
        <v>4</v>
      </c>
    </row>
    <row r="390" spans="1:3" x14ac:dyDescent="0.25">
      <c r="A390" s="34">
        <v>42131.375</v>
      </c>
      <c r="B390" s="35">
        <v>42130</v>
      </c>
      <c r="C390" s="36">
        <v>0</v>
      </c>
    </row>
    <row r="391" spans="1:3" x14ac:dyDescent="0.25">
      <c r="A391" s="34">
        <v>42132.375</v>
      </c>
      <c r="B391" s="35">
        <v>42131</v>
      </c>
      <c r="C391" s="36">
        <v>32</v>
      </c>
    </row>
    <row r="392" spans="1:3" x14ac:dyDescent="0.25">
      <c r="A392" s="34">
        <v>42133.375</v>
      </c>
      <c r="B392" s="35">
        <v>42132</v>
      </c>
      <c r="C392" s="36" t="s">
        <v>15</v>
      </c>
    </row>
    <row r="393" spans="1:3" x14ac:dyDescent="0.25">
      <c r="A393" s="34">
        <v>42134.375</v>
      </c>
      <c r="B393" s="35">
        <v>42133</v>
      </c>
      <c r="C393" s="36">
        <v>0</v>
      </c>
    </row>
    <row r="394" spans="1:3" x14ac:dyDescent="0.25">
      <c r="A394" s="34">
        <v>42135.375</v>
      </c>
      <c r="B394" s="35">
        <v>42134</v>
      </c>
      <c r="C394" s="36" t="s">
        <v>15</v>
      </c>
    </row>
    <row r="395" spans="1:3" x14ac:dyDescent="0.25">
      <c r="A395" s="34">
        <v>42136.375</v>
      </c>
      <c r="B395" s="35">
        <v>42135</v>
      </c>
      <c r="C395" s="36">
        <v>2</v>
      </c>
    </row>
    <row r="396" spans="1:3" x14ac:dyDescent="0.25">
      <c r="A396" s="34">
        <v>42137.375</v>
      </c>
      <c r="B396" s="35">
        <v>42136</v>
      </c>
      <c r="C396" s="36">
        <v>25.6</v>
      </c>
    </row>
    <row r="397" spans="1:3" x14ac:dyDescent="0.25">
      <c r="A397" s="34">
        <v>42138.375</v>
      </c>
      <c r="B397" s="35">
        <v>42137</v>
      </c>
      <c r="C397" s="36">
        <v>0</v>
      </c>
    </row>
    <row r="398" spans="1:3" x14ac:dyDescent="0.25">
      <c r="A398" s="34">
        <v>42139.375</v>
      </c>
      <c r="B398" s="35">
        <v>42138</v>
      </c>
      <c r="C398" s="36" t="s">
        <v>15</v>
      </c>
    </row>
    <row r="399" spans="1:3" x14ac:dyDescent="0.25">
      <c r="A399" s="34">
        <v>42140.375</v>
      </c>
      <c r="B399" s="35">
        <v>42139</v>
      </c>
      <c r="C399" s="36" t="s">
        <v>15</v>
      </c>
    </row>
    <row r="400" spans="1:3" x14ac:dyDescent="0.25">
      <c r="A400" s="34">
        <v>42141.375</v>
      </c>
      <c r="B400" s="35">
        <v>42140</v>
      </c>
      <c r="C400" s="36">
        <v>18</v>
      </c>
    </row>
    <row r="401" spans="1:3" x14ac:dyDescent="0.25">
      <c r="A401" s="34">
        <v>42142.375</v>
      </c>
      <c r="B401" s="35">
        <v>42141</v>
      </c>
      <c r="C401" s="36">
        <v>68.599999999999994</v>
      </c>
    </row>
    <row r="402" spans="1:3" x14ac:dyDescent="0.25">
      <c r="A402" s="34">
        <v>42143.375</v>
      </c>
      <c r="B402" s="35">
        <v>42142</v>
      </c>
      <c r="C402" s="36">
        <v>0</v>
      </c>
    </row>
    <row r="403" spans="1:3" x14ac:dyDescent="0.25">
      <c r="A403" s="34">
        <v>42144.375</v>
      </c>
      <c r="B403" s="35">
        <v>42143</v>
      </c>
      <c r="C403" s="36">
        <v>0</v>
      </c>
    </row>
    <row r="404" spans="1:3" x14ac:dyDescent="0.25">
      <c r="A404" s="34">
        <v>42145.375</v>
      </c>
      <c r="B404" s="35">
        <v>42144</v>
      </c>
      <c r="C404" s="36">
        <v>19.5</v>
      </c>
    </row>
    <row r="405" spans="1:3" x14ac:dyDescent="0.25">
      <c r="A405" s="34">
        <v>42146.375</v>
      </c>
      <c r="B405" s="35">
        <v>42145</v>
      </c>
      <c r="C405" s="36">
        <v>20.5</v>
      </c>
    </row>
    <row r="406" spans="1:3" x14ac:dyDescent="0.25">
      <c r="A406" s="34">
        <v>42147.375</v>
      </c>
      <c r="B406" s="35">
        <v>42146</v>
      </c>
      <c r="C406" s="36">
        <v>8</v>
      </c>
    </row>
    <row r="407" spans="1:3" x14ac:dyDescent="0.25">
      <c r="A407" s="34">
        <v>42148.375</v>
      </c>
      <c r="B407" s="35">
        <v>42147</v>
      </c>
      <c r="C407" s="36">
        <v>10</v>
      </c>
    </row>
    <row r="408" spans="1:3" x14ac:dyDescent="0.25">
      <c r="A408" s="34">
        <v>42149.375</v>
      </c>
      <c r="B408" s="35">
        <v>42148</v>
      </c>
      <c r="C408" s="36" t="s">
        <v>15</v>
      </c>
    </row>
    <row r="409" spans="1:3" x14ac:dyDescent="0.25">
      <c r="A409" s="34">
        <v>42150.375</v>
      </c>
      <c r="B409" s="35">
        <v>42149</v>
      </c>
      <c r="C409" s="36">
        <v>0</v>
      </c>
    </row>
    <row r="410" spans="1:3" x14ac:dyDescent="0.25">
      <c r="A410" s="34">
        <v>42151.375</v>
      </c>
      <c r="B410" s="35">
        <v>42150</v>
      </c>
      <c r="C410" s="36">
        <v>0</v>
      </c>
    </row>
    <row r="411" spans="1:3" x14ac:dyDescent="0.25">
      <c r="A411" s="34">
        <v>42152.375</v>
      </c>
      <c r="B411" s="35">
        <v>42151</v>
      </c>
      <c r="C411" s="36">
        <v>0</v>
      </c>
    </row>
    <row r="412" spans="1:3" x14ac:dyDescent="0.25">
      <c r="A412" s="34">
        <v>42153.375</v>
      </c>
      <c r="B412" s="35">
        <v>42152</v>
      </c>
      <c r="C412" s="36">
        <v>13.5</v>
      </c>
    </row>
    <row r="413" spans="1:3" x14ac:dyDescent="0.25">
      <c r="A413" s="34">
        <v>42154.375</v>
      </c>
      <c r="B413" s="35">
        <v>42153</v>
      </c>
      <c r="C413" s="36" t="s">
        <v>15</v>
      </c>
    </row>
    <row r="414" spans="1:3" x14ac:dyDescent="0.25">
      <c r="A414" s="34">
        <v>42155.375</v>
      </c>
      <c r="B414" s="35">
        <v>42154</v>
      </c>
      <c r="C414" s="36">
        <v>0</v>
      </c>
    </row>
    <row r="415" spans="1:3" x14ac:dyDescent="0.25">
      <c r="A415" s="34">
        <v>42156.375</v>
      </c>
      <c r="B415" s="35">
        <v>42155</v>
      </c>
      <c r="C415" s="36">
        <v>13</v>
      </c>
    </row>
    <row r="416" spans="1:3" x14ac:dyDescent="0.25">
      <c r="A416" s="34">
        <v>42157.375</v>
      </c>
      <c r="B416" s="35">
        <v>42156</v>
      </c>
      <c r="C416" s="36">
        <v>16</v>
      </c>
    </row>
    <row r="417" spans="1:3" x14ac:dyDescent="0.25">
      <c r="A417" s="34">
        <v>42158.375</v>
      </c>
      <c r="B417" s="35">
        <v>42157</v>
      </c>
      <c r="C417" s="36">
        <v>0</v>
      </c>
    </row>
    <row r="418" spans="1:3" x14ac:dyDescent="0.25">
      <c r="A418" s="34">
        <v>42159.375</v>
      </c>
      <c r="B418" s="35">
        <v>42158</v>
      </c>
      <c r="C418" s="36">
        <v>29.6</v>
      </c>
    </row>
    <row r="419" spans="1:3" x14ac:dyDescent="0.25">
      <c r="A419" s="34">
        <v>42160.375</v>
      </c>
      <c r="B419" s="35">
        <v>42159</v>
      </c>
      <c r="C419" s="36">
        <v>13</v>
      </c>
    </row>
    <row r="420" spans="1:3" x14ac:dyDescent="0.25">
      <c r="A420" s="34">
        <v>42161.375</v>
      </c>
      <c r="B420" s="35">
        <v>42160</v>
      </c>
      <c r="C420" s="36" t="s">
        <v>15</v>
      </c>
    </row>
    <row r="421" spans="1:3" x14ac:dyDescent="0.25">
      <c r="A421" s="34">
        <v>42162.375</v>
      </c>
      <c r="B421" s="35">
        <v>42161</v>
      </c>
      <c r="C421" s="36">
        <v>0</v>
      </c>
    </row>
    <row r="422" spans="1:3" x14ac:dyDescent="0.25">
      <c r="A422" s="34">
        <v>42163.375</v>
      </c>
      <c r="B422" s="35">
        <v>42162</v>
      </c>
      <c r="C422" s="36">
        <v>13</v>
      </c>
    </row>
    <row r="423" spans="1:3" x14ac:dyDescent="0.25">
      <c r="A423" s="34">
        <v>42164.375</v>
      </c>
      <c r="B423" s="35">
        <v>42163</v>
      </c>
      <c r="C423" s="36">
        <v>0</v>
      </c>
    </row>
    <row r="424" spans="1:3" x14ac:dyDescent="0.25">
      <c r="A424" s="34">
        <v>42165.375</v>
      </c>
      <c r="B424" s="35">
        <v>42164</v>
      </c>
      <c r="C424" s="36">
        <v>54.6</v>
      </c>
    </row>
    <row r="425" spans="1:3" x14ac:dyDescent="0.25">
      <c r="A425" s="34">
        <v>42166.375</v>
      </c>
      <c r="B425" s="35">
        <v>42165</v>
      </c>
      <c r="C425" s="36">
        <v>0</v>
      </c>
    </row>
    <row r="426" spans="1:3" x14ac:dyDescent="0.25">
      <c r="A426" s="34">
        <v>42167.375</v>
      </c>
      <c r="B426" s="35">
        <v>42166</v>
      </c>
      <c r="C426" s="36">
        <v>0</v>
      </c>
    </row>
    <row r="427" spans="1:3" x14ac:dyDescent="0.25">
      <c r="A427" s="34">
        <v>42168.375</v>
      </c>
      <c r="B427" s="35">
        <v>42167</v>
      </c>
      <c r="C427" s="36">
        <v>4.5</v>
      </c>
    </row>
    <row r="428" spans="1:3" x14ac:dyDescent="0.25">
      <c r="A428" s="34">
        <v>42169.375</v>
      </c>
      <c r="B428" s="35">
        <v>42168</v>
      </c>
      <c r="C428" s="36">
        <v>42.1</v>
      </c>
    </row>
    <row r="429" spans="1:3" x14ac:dyDescent="0.25">
      <c r="A429" s="34">
        <v>42170.375</v>
      </c>
      <c r="B429" s="35">
        <v>42169</v>
      </c>
      <c r="C429" s="36">
        <v>0</v>
      </c>
    </row>
    <row r="430" spans="1:3" x14ac:dyDescent="0.25">
      <c r="A430" s="34">
        <v>42171.375</v>
      </c>
      <c r="B430" s="35">
        <v>42170</v>
      </c>
      <c r="C430" s="36">
        <v>0</v>
      </c>
    </row>
    <row r="431" spans="1:3" x14ac:dyDescent="0.25">
      <c r="A431" s="34">
        <v>42172.375</v>
      </c>
      <c r="B431" s="35">
        <v>42171</v>
      </c>
      <c r="C431" s="36" t="s">
        <v>15</v>
      </c>
    </row>
    <row r="432" spans="1:3" x14ac:dyDescent="0.25">
      <c r="A432" s="34">
        <v>42173.375</v>
      </c>
      <c r="B432" s="35">
        <v>42172</v>
      </c>
      <c r="C432" s="36">
        <v>24.5</v>
      </c>
    </row>
    <row r="433" spans="1:3" x14ac:dyDescent="0.25">
      <c r="A433" s="34">
        <v>42174.375</v>
      </c>
      <c r="B433" s="35">
        <v>42173</v>
      </c>
      <c r="C433" s="36">
        <v>30.5</v>
      </c>
    </row>
    <row r="434" spans="1:3" x14ac:dyDescent="0.25">
      <c r="A434" s="34">
        <v>42175.375</v>
      </c>
      <c r="B434" s="35">
        <v>42174</v>
      </c>
      <c r="C434" s="36">
        <v>0</v>
      </c>
    </row>
    <row r="435" spans="1:3" x14ac:dyDescent="0.25">
      <c r="A435" s="34">
        <v>42176.375</v>
      </c>
      <c r="B435" s="35">
        <v>42175</v>
      </c>
      <c r="C435" s="36" t="s">
        <v>15</v>
      </c>
    </row>
    <row r="436" spans="1:3" x14ac:dyDescent="0.25">
      <c r="A436" s="34">
        <v>42177.375</v>
      </c>
      <c r="B436" s="35">
        <v>42176</v>
      </c>
      <c r="C436" s="36">
        <v>10</v>
      </c>
    </row>
    <row r="437" spans="1:3" x14ac:dyDescent="0.25">
      <c r="A437" s="34">
        <v>42178.375</v>
      </c>
      <c r="B437" s="35">
        <v>42177</v>
      </c>
      <c r="C437" s="36">
        <v>4</v>
      </c>
    </row>
    <row r="438" spans="1:3" x14ac:dyDescent="0.25">
      <c r="A438" s="34">
        <v>42179.375</v>
      </c>
      <c r="B438" s="35">
        <v>42178</v>
      </c>
      <c r="C438" s="36">
        <v>0</v>
      </c>
    </row>
    <row r="439" spans="1:3" x14ac:dyDescent="0.25">
      <c r="A439" s="34">
        <v>42180.375</v>
      </c>
      <c r="B439" s="35">
        <v>42179</v>
      </c>
      <c r="C439" s="36">
        <v>10</v>
      </c>
    </row>
    <row r="440" spans="1:3" x14ac:dyDescent="0.25">
      <c r="A440" s="34">
        <v>42181.375</v>
      </c>
      <c r="B440" s="35">
        <v>42180</v>
      </c>
      <c r="C440" s="36" t="s">
        <v>15</v>
      </c>
    </row>
    <row r="441" spans="1:3" x14ac:dyDescent="0.25">
      <c r="A441" s="34">
        <v>42182.375</v>
      </c>
      <c r="B441" s="35">
        <v>42181</v>
      </c>
      <c r="C441" s="36">
        <v>0</v>
      </c>
    </row>
    <row r="442" spans="1:3" x14ac:dyDescent="0.25">
      <c r="A442" s="34">
        <v>42183.375</v>
      </c>
      <c r="B442" s="35">
        <v>42182</v>
      </c>
      <c r="C442" s="36">
        <v>24</v>
      </c>
    </row>
    <row r="443" spans="1:3" x14ac:dyDescent="0.25">
      <c r="A443" s="34">
        <v>42184.375</v>
      </c>
      <c r="B443" s="35">
        <v>42183</v>
      </c>
      <c r="C443" s="36">
        <v>4.5</v>
      </c>
    </row>
    <row r="444" spans="1:3" x14ac:dyDescent="0.25">
      <c r="A444" s="34">
        <v>42185.375</v>
      </c>
      <c r="B444" s="35">
        <v>42184</v>
      </c>
      <c r="C444" s="36">
        <v>25.6</v>
      </c>
    </row>
    <row r="445" spans="1:3" x14ac:dyDescent="0.25">
      <c r="A445" s="34">
        <v>42186.375</v>
      </c>
      <c r="B445" s="35">
        <v>42185</v>
      </c>
      <c r="C445" s="36" t="s">
        <v>44</v>
      </c>
    </row>
    <row r="446" spans="1:3" x14ac:dyDescent="0.25">
      <c r="A446" s="34">
        <v>42187.375</v>
      </c>
      <c r="B446" s="35">
        <v>42186</v>
      </c>
      <c r="C446" s="36" t="s">
        <v>44</v>
      </c>
    </row>
    <row r="447" spans="1:3" x14ac:dyDescent="0.25">
      <c r="A447" s="34">
        <v>42188.375</v>
      </c>
      <c r="B447" s="35">
        <v>42187</v>
      </c>
      <c r="C447" s="36" t="s">
        <v>44</v>
      </c>
    </row>
    <row r="448" spans="1:3" x14ac:dyDescent="0.25">
      <c r="A448" s="34">
        <v>42189.375</v>
      </c>
      <c r="B448" s="35">
        <v>42188</v>
      </c>
      <c r="C448" s="36" t="s">
        <v>44</v>
      </c>
    </row>
    <row r="449" spans="1:3" x14ac:dyDescent="0.25">
      <c r="A449" s="34">
        <v>42190.375</v>
      </c>
      <c r="B449" s="35">
        <v>42189</v>
      </c>
      <c r="C449" s="36" t="s">
        <v>44</v>
      </c>
    </row>
    <row r="450" spans="1:3" x14ac:dyDescent="0.25">
      <c r="A450" s="34">
        <v>42191.375</v>
      </c>
      <c r="B450" s="35">
        <v>42190</v>
      </c>
      <c r="C450" s="36" t="s">
        <v>44</v>
      </c>
    </row>
    <row r="451" spans="1:3" x14ac:dyDescent="0.25">
      <c r="A451" s="34">
        <v>42192.375</v>
      </c>
      <c r="B451" s="35">
        <v>42191</v>
      </c>
      <c r="C451" s="36" t="s">
        <v>44</v>
      </c>
    </row>
    <row r="452" spans="1:3" x14ac:dyDescent="0.25">
      <c r="A452" s="34">
        <v>42193.375</v>
      </c>
      <c r="B452" s="35">
        <v>42192</v>
      </c>
      <c r="C452" s="36" t="s">
        <v>44</v>
      </c>
    </row>
    <row r="453" spans="1:3" x14ac:dyDescent="0.25">
      <c r="A453" s="34">
        <v>42194.375</v>
      </c>
      <c r="B453" s="35">
        <v>42193</v>
      </c>
      <c r="C453" s="36" t="s">
        <v>44</v>
      </c>
    </row>
    <row r="454" spans="1:3" x14ac:dyDescent="0.25">
      <c r="A454" s="34">
        <v>42195.375</v>
      </c>
      <c r="B454" s="35">
        <v>42194</v>
      </c>
      <c r="C454" s="36" t="s">
        <v>44</v>
      </c>
    </row>
    <row r="455" spans="1:3" x14ac:dyDescent="0.25">
      <c r="A455" s="34">
        <v>42196.375</v>
      </c>
      <c r="B455" s="35">
        <v>42195</v>
      </c>
      <c r="C455" s="36" t="s">
        <v>44</v>
      </c>
    </row>
    <row r="456" spans="1:3" x14ac:dyDescent="0.25">
      <c r="A456" s="34">
        <v>42197.375</v>
      </c>
      <c r="B456" s="35">
        <v>42196</v>
      </c>
      <c r="C456" s="36" t="s">
        <v>44</v>
      </c>
    </row>
    <row r="457" spans="1:3" x14ac:dyDescent="0.25">
      <c r="A457" s="34">
        <v>42198.375</v>
      </c>
      <c r="B457" s="35">
        <v>42197</v>
      </c>
      <c r="C457" s="36" t="s">
        <v>44</v>
      </c>
    </row>
    <row r="458" spans="1:3" x14ac:dyDescent="0.25">
      <c r="A458" s="34">
        <v>42199.375</v>
      </c>
      <c r="B458" s="35">
        <v>42198</v>
      </c>
      <c r="C458" s="36" t="s">
        <v>44</v>
      </c>
    </row>
    <row r="459" spans="1:3" x14ac:dyDescent="0.25">
      <c r="A459" s="34">
        <v>42200.375</v>
      </c>
      <c r="B459" s="35">
        <v>42199</v>
      </c>
      <c r="C459" s="36" t="s">
        <v>44</v>
      </c>
    </row>
    <row r="460" spans="1:3" x14ac:dyDescent="0.25">
      <c r="A460" s="34">
        <v>42201.375</v>
      </c>
      <c r="B460" s="35">
        <v>42200</v>
      </c>
      <c r="C460" s="36" t="s">
        <v>44</v>
      </c>
    </row>
    <row r="461" spans="1:3" x14ac:dyDescent="0.25">
      <c r="A461" s="34">
        <v>42202.375</v>
      </c>
      <c r="B461" s="35">
        <v>42201</v>
      </c>
      <c r="C461" s="36" t="s">
        <v>44</v>
      </c>
    </row>
    <row r="462" spans="1:3" x14ac:dyDescent="0.25">
      <c r="A462" s="34">
        <v>42203.375</v>
      </c>
      <c r="B462" s="35">
        <v>42202</v>
      </c>
      <c r="C462" s="36" t="s">
        <v>44</v>
      </c>
    </row>
    <row r="463" spans="1:3" x14ac:dyDescent="0.25">
      <c r="A463" s="34">
        <v>42204.375</v>
      </c>
      <c r="B463" s="35">
        <v>42203</v>
      </c>
      <c r="C463" s="36" t="s">
        <v>44</v>
      </c>
    </row>
    <row r="464" spans="1:3" x14ac:dyDescent="0.25">
      <c r="A464" s="34">
        <v>42205.375</v>
      </c>
      <c r="B464" s="35">
        <v>42204</v>
      </c>
      <c r="C464" s="36" t="s">
        <v>44</v>
      </c>
    </row>
    <row r="465" spans="1:3" x14ac:dyDescent="0.25">
      <c r="A465" s="34">
        <v>42206.375</v>
      </c>
      <c r="B465" s="35">
        <v>42205</v>
      </c>
      <c r="C465" s="36" t="s">
        <v>44</v>
      </c>
    </row>
    <row r="466" spans="1:3" x14ac:dyDescent="0.25">
      <c r="A466" s="34">
        <v>42207.375</v>
      </c>
      <c r="B466" s="35">
        <v>42206</v>
      </c>
      <c r="C466" s="36" t="s">
        <v>44</v>
      </c>
    </row>
    <row r="467" spans="1:3" x14ac:dyDescent="0.25">
      <c r="A467" s="34">
        <v>42208.375</v>
      </c>
      <c r="B467" s="35">
        <v>42207</v>
      </c>
      <c r="C467" s="36" t="s">
        <v>44</v>
      </c>
    </row>
    <row r="468" spans="1:3" x14ac:dyDescent="0.25">
      <c r="A468" s="34">
        <v>42209.375</v>
      </c>
      <c r="B468" s="35">
        <v>42208</v>
      </c>
      <c r="C468" s="36" t="s">
        <v>44</v>
      </c>
    </row>
    <row r="469" spans="1:3" x14ac:dyDescent="0.25">
      <c r="A469" s="34">
        <v>42210.375</v>
      </c>
      <c r="B469" s="35">
        <v>42209</v>
      </c>
      <c r="C469" s="36" t="s">
        <v>44</v>
      </c>
    </row>
    <row r="470" spans="1:3" x14ac:dyDescent="0.25">
      <c r="A470" s="34">
        <v>42211.375</v>
      </c>
      <c r="B470" s="35">
        <v>42210</v>
      </c>
      <c r="C470" s="36" t="s">
        <v>44</v>
      </c>
    </row>
    <row r="471" spans="1:3" x14ac:dyDescent="0.25">
      <c r="A471" s="34">
        <v>42212.375</v>
      </c>
      <c r="B471" s="35">
        <v>42211</v>
      </c>
      <c r="C471" s="36" t="s">
        <v>44</v>
      </c>
    </row>
    <row r="472" spans="1:3" x14ac:dyDescent="0.25">
      <c r="A472" s="34">
        <v>42213.375</v>
      </c>
      <c r="B472" s="35">
        <v>42212</v>
      </c>
      <c r="C472" s="36" t="s">
        <v>44</v>
      </c>
    </row>
    <row r="473" spans="1:3" x14ac:dyDescent="0.25">
      <c r="A473" s="34">
        <v>42214.375</v>
      </c>
      <c r="B473" s="35">
        <v>42213</v>
      </c>
      <c r="C473" s="36" t="s">
        <v>44</v>
      </c>
    </row>
    <row r="474" spans="1:3" x14ac:dyDescent="0.25">
      <c r="A474" s="34">
        <v>42215.375</v>
      </c>
      <c r="B474" s="35">
        <v>42214</v>
      </c>
      <c r="C474" s="36" t="s">
        <v>44</v>
      </c>
    </row>
    <row r="475" spans="1:3" x14ac:dyDescent="0.25">
      <c r="A475" s="34">
        <v>42216.375</v>
      </c>
      <c r="B475" s="35">
        <v>42215</v>
      </c>
      <c r="C475" s="36" t="s">
        <v>44</v>
      </c>
    </row>
    <row r="476" spans="1:3" x14ac:dyDescent="0.25">
      <c r="A476" s="34">
        <v>42217.375</v>
      </c>
      <c r="B476" s="35">
        <v>42216</v>
      </c>
      <c r="C476" s="36">
        <v>4.5</v>
      </c>
    </row>
    <row r="477" spans="1:3" x14ac:dyDescent="0.25">
      <c r="A477" s="34">
        <v>42218.375</v>
      </c>
      <c r="B477" s="35">
        <v>42217</v>
      </c>
      <c r="C477" s="36" t="s">
        <v>15</v>
      </c>
    </row>
    <row r="478" spans="1:3" x14ac:dyDescent="0.25">
      <c r="A478" s="34">
        <v>42219.375</v>
      </c>
      <c r="B478" s="35">
        <v>42218</v>
      </c>
      <c r="C478" s="36">
        <v>8</v>
      </c>
    </row>
    <row r="479" spans="1:3" x14ac:dyDescent="0.25">
      <c r="A479" s="34">
        <v>42220.375</v>
      </c>
      <c r="B479" s="35">
        <v>42219</v>
      </c>
      <c r="C479" s="36" t="s">
        <v>15</v>
      </c>
    </row>
    <row r="480" spans="1:3" x14ac:dyDescent="0.25">
      <c r="A480" s="34">
        <v>42221.375</v>
      </c>
      <c r="B480" s="35">
        <v>42220</v>
      </c>
      <c r="C480" s="36">
        <v>7.5</v>
      </c>
    </row>
    <row r="481" spans="1:3" x14ac:dyDescent="0.25">
      <c r="A481" s="34">
        <v>42222.375</v>
      </c>
      <c r="B481" s="35">
        <v>42221</v>
      </c>
      <c r="C481" s="36">
        <v>13</v>
      </c>
    </row>
    <row r="482" spans="1:3" x14ac:dyDescent="0.25">
      <c r="A482" s="34">
        <v>42223.375</v>
      </c>
      <c r="B482" s="35">
        <v>42222</v>
      </c>
      <c r="C482" s="36">
        <v>26</v>
      </c>
    </row>
    <row r="483" spans="1:3" x14ac:dyDescent="0.25">
      <c r="A483" s="34">
        <v>42224.375</v>
      </c>
      <c r="B483" s="35">
        <v>42223</v>
      </c>
      <c r="C483" s="36">
        <v>4</v>
      </c>
    </row>
    <row r="484" spans="1:3" x14ac:dyDescent="0.25">
      <c r="A484" s="34">
        <v>42225.375</v>
      </c>
      <c r="B484" s="35">
        <v>42224</v>
      </c>
      <c r="C484" s="36">
        <v>3</v>
      </c>
    </row>
    <row r="485" spans="1:3" x14ac:dyDescent="0.25">
      <c r="A485" s="34">
        <v>42226.375</v>
      </c>
      <c r="B485" s="35">
        <v>42225</v>
      </c>
      <c r="C485" s="36">
        <v>13</v>
      </c>
    </row>
    <row r="486" spans="1:3" x14ac:dyDescent="0.25">
      <c r="A486" s="34">
        <v>42227.375</v>
      </c>
      <c r="B486" s="35">
        <v>42226</v>
      </c>
      <c r="C486" s="36">
        <v>3</v>
      </c>
    </row>
    <row r="487" spans="1:3" x14ac:dyDescent="0.25">
      <c r="A487" s="34">
        <v>42228.375</v>
      </c>
      <c r="B487" s="35">
        <v>42227</v>
      </c>
      <c r="C487" s="36">
        <v>26</v>
      </c>
    </row>
    <row r="488" spans="1:3" x14ac:dyDescent="0.25">
      <c r="A488" s="34">
        <v>42229.375</v>
      </c>
      <c r="B488" s="35">
        <v>42228</v>
      </c>
      <c r="C488" s="36">
        <v>26</v>
      </c>
    </row>
    <row r="489" spans="1:3" x14ac:dyDescent="0.25">
      <c r="A489" s="34">
        <v>42230.375</v>
      </c>
      <c r="B489" s="35">
        <v>42229</v>
      </c>
      <c r="C489" s="36">
        <v>12.3</v>
      </c>
    </row>
    <row r="490" spans="1:3" x14ac:dyDescent="0.25">
      <c r="A490" s="34">
        <v>42231.375</v>
      </c>
      <c r="B490" s="35">
        <v>42230</v>
      </c>
      <c r="C490" s="36">
        <v>26</v>
      </c>
    </row>
    <row r="491" spans="1:3" x14ac:dyDescent="0.25">
      <c r="A491" s="34">
        <v>42232.375</v>
      </c>
      <c r="B491" s="35">
        <v>42231</v>
      </c>
      <c r="C491" s="36">
        <v>24</v>
      </c>
    </row>
    <row r="492" spans="1:3" x14ac:dyDescent="0.25">
      <c r="A492" s="34">
        <v>42233.375</v>
      </c>
      <c r="B492" s="35">
        <v>42232</v>
      </c>
      <c r="C492" s="36">
        <v>25</v>
      </c>
    </row>
    <row r="493" spans="1:3" x14ac:dyDescent="0.25">
      <c r="A493" s="34">
        <v>42234.375</v>
      </c>
      <c r="B493" s="35">
        <v>42233</v>
      </c>
      <c r="C493" s="36" t="s">
        <v>15</v>
      </c>
    </row>
    <row r="494" spans="1:3" x14ac:dyDescent="0.25">
      <c r="A494" s="34">
        <v>42235.375</v>
      </c>
      <c r="B494" s="35">
        <v>42234</v>
      </c>
      <c r="C494" s="36">
        <v>25</v>
      </c>
    </row>
    <row r="495" spans="1:3" x14ac:dyDescent="0.25">
      <c r="A495" s="34">
        <v>42236.375</v>
      </c>
      <c r="B495" s="35">
        <v>42235</v>
      </c>
      <c r="C495" s="36">
        <v>5</v>
      </c>
    </row>
    <row r="496" spans="1:3" x14ac:dyDescent="0.25">
      <c r="A496" s="34">
        <v>42237.375</v>
      </c>
      <c r="B496" s="35">
        <v>42236</v>
      </c>
      <c r="C496" s="36" t="s">
        <v>15</v>
      </c>
    </row>
    <row r="497" spans="1:3" x14ac:dyDescent="0.25">
      <c r="A497" s="34">
        <v>42238.375</v>
      </c>
      <c r="B497" s="35">
        <v>42237</v>
      </c>
      <c r="C497" s="36">
        <v>8</v>
      </c>
    </row>
    <row r="498" spans="1:3" x14ac:dyDescent="0.25">
      <c r="A498" s="34">
        <v>42239.375</v>
      </c>
      <c r="B498" s="35">
        <v>42238</v>
      </c>
      <c r="C498" s="36">
        <v>25</v>
      </c>
    </row>
    <row r="499" spans="1:3" x14ac:dyDescent="0.25">
      <c r="A499" s="34">
        <v>42240.375</v>
      </c>
      <c r="B499" s="35">
        <v>42239</v>
      </c>
      <c r="C499" s="36">
        <v>0</v>
      </c>
    </row>
    <row r="500" spans="1:3" x14ac:dyDescent="0.25">
      <c r="A500" s="34">
        <v>42241.375</v>
      </c>
      <c r="B500" s="35">
        <v>42240</v>
      </c>
      <c r="C500" s="36">
        <v>12</v>
      </c>
    </row>
    <row r="501" spans="1:3" x14ac:dyDescent="0.25">
      <c r="A501" s="34">
        <v>42242.375</v>
      </c>
      <c r="B501" s="35">
        <v>42241</v>
      </c>
      <c r="C501" s="36">
        <v>25</v>
      </c>
    </row>
    <row r="502" spans="1:3" x14ac:dyDescent="0.25">
      <c r="A502" s="34">
        <v>42243.375</v>
      </c>
      <c r="B502" s="35">
        <v>42242</v>
      </c>
      <c r="C502" s="36">
        <v>20.6</v>
      </c>
    </row>
    <row r="503" spans="1:3" x14ac:dyDescent="0.25">
      <c r="A503" s="34">
        <v>42244.375</v>
      </c>
      <c r="B503" s="35">
        <v>42243</v>
      </c>
      <c r="C503" s="36">
        <v>16</v>
      </c>
    </row>
    <row r="504" spans="1:3" x14ac:dyDescent="0.25">
      <c r="A504" s="34">
        <v>42245.375</v>
      </c>
      <c r="B504" s="35">
        <v>42244</v>
      </c>
      <c r="C504" s="36" t="s">
        <v>15</v>
      </c>
    </row>
    <row r="505" spans="1:3" x14ac:dyDescent="0.25">
      <c r="A505" s="34">
        <v>42246.375</v>
      </c>
      <c r="B505" s="35">
        <v>42245</v>
      </c>
      <c r="C505" s="36">
        <v>15</v>
      </c>
    </row>
    <row r="506" spans="1:3" x14ac:dyDescent="0.25">
      <c r="A506" s="34">
        <v>42247.375</v>
      </c>
      <c r="B506" s="35">
        <v>42246</v>
      </c>
      <c r="C506" s="36">
        <v>4.5</v>
      </c>
    </row>
    <row r="507" spans="1:3" x14ac:dyDescent="0.25">
      <c r="A507" s="34">
        <v>42248.375</v>
      </c>
      <c r="B507" s="35">
        <v>42247</v>
      </c>
      <c r="C507" s="36" t="s">
        <v>15</v>
      </c>
    </row>
    <row r="508" spans="1:3" x14ac:dyDescent="0.25">
      <c r="A508" s="34">
        <v>42249.375</v>
      </c>
      <c r="B508" s="35">
        <v>42248</v>
      </c>
      <c r="C508" s="36">
        <v>6</v>
      </c>
    </row>
    <row r="509" spans="1:3" x14ac:dyDescent="0.25">
      <c r="A509" s="34">
        <v>42250.375</v>
      </c>
      <c r="B509" s="35">
        <v>42249</v>
      </c>
      <c r="C509" s="36">
        <v>25</v>
      </c>
    </row>
    <row r="510" spans="1:3" x14ac:dyDescent="0.25">
      <c r="A510" s="34">
        <v>42251.375</v>
      </c>
      <c r="B510" s="35">
        <v>42250</v>
      </c>
      <c r="C510" s="36">
        <v>0</v>
      </c>
    </row>
    <row r="511" spans="1:3" x14ac:dyDescent="0.25">
      <c r="A511" s="34">
        <v>42252.375</v>
      </c>
      <c r="B511" s="35">
        <v>42251</v>
      </c>
      <c r="C511" s="36" t="s">
        <v>15</v>
      </c>
    </row>
    <row r="512" spans="1:3" x14ac:dyDescent="0.25">
      <c r="A512" s="34">
        <v>42253.375</v>
      </c>
      <c r="B512" s="35">
        <v>42252</v>
      </c>
      <c r="C512" s="36">
        <v>10.6</v>
      </c>
    </row>
    <row r="513" spans="1:3" x14ac:dyDescent="0.25">
      <c r="A513" s="34">
        <v>42254.375</v>
      </c>
      <c r="B513" s="35">
        <v>42253</v>
      </c>
      <c r="C513" s="36">
        <v>20</v>
      </c>
    </row>
    <row r="514" spans="1:3" x14ac:dyDescent="0.25">
      <c r="A514" s="34">
        <v>42255.375</v>
      </c>
      <c r="B514" s="35">
        <v>42254</v>
      </c>
      <c r="C514" s="36" t="s">
        <v>15</v>
      </c>
    </row>
    <row r="515" spans="1:3" x14ac:dyDescent="0.25">
      <c r="A515" s="34">
        <v>42256.375</v>
      </c>
      <c r="B515" s="35">
        <v>42255</v>
      </c>
      <c r="C515" s="36">
        <v>0</v>
      </c>
    </row>
    <row r="516" spans="1:3" x14ac:dyDescent="0.25">
      <c r="A516" s="34">
        <v>42257.375</v>
      </c>
      <c r="B516" s="35">
        <v>42256</v>
      </c>
      <c r="C516" s="36">
        <v>16.5</v>
      </c>
    </row>
    <row r="517" spans="1:3" x14ac:dyDescent="0.25">
      <c r="A517" s="34">
        <v>42258.375</v>
      </c>
      <c r="B517" s="35">
        <v>42257</v>
      </c>
      <c r="C517" s="36">
        <v>25</v>
      </c>
    </row>
    <row r="518" spans="1:3" x14ac:dyDescent="0.25">
      <c r="A518" s="34">
        <v>42259.375</v>
      </c>
      <c r="B518" s="35">
        <v>42258</v>
      </c>
      <c r="C518" s="36">
        <v>22</v>
      </c>
    </row>
    <row r="519" spans="1:3" x14ac:dyDescent="0.25">
      <c r="A519" s="34">
        <v>42260.375</v>
      </c>
      <c r="B519" s="35">
        <v>42259</v>
      </c>
      <c r="C519" s="36">
        <v>26.5</v>
      </c>
    </row>
    <row r="520" spans="1:3" x14ac:dyDescent="0.25">
      <c r="A520" s="34">
        <v>42261.375</v>
      </c>
      <c r="B520" s="35">
        <v>42260</v>
      </c>
      <c r="C520" s="36">
        <v>8</v>
      </c>
    </row>
    <row r="521" spans="1:3" x14ac:dyDescent="0.25">
      <c r="A521" s="34">
        <v>42262.375</v>
      </c>
      <c r="B521" s="35">
        <v>42261</v>
      </c>
      <c r="C521" s="36">
        <v>3.4</v>
      </c>
    </row>
    <row r="522" spans="1:3" x14ac:dyDescent="0.25">
      <c r="A522" s="34">
        <v>42263.375</v>
      </c>
      <c r="B522" s="35">
        <v>42262</v>
      </c>
      <c r="C522" s="36">
        <v>10</v>
      </c>
    </row>
    <row r="523" spans="1:3" x14ac:dyDescent="0.25">
      <c r="A523" s="34">
        <v>42264.375</v>
      </c>
      <c r="B523" s="35">
        <v>42263</v>
      </c>
      <c r="C523" s="36" t="s">
        <v>15</v>
      </c>
    </row>
    <row r="524" spans="1:3" x14ac:dyDescent="0.25">
      <c r="A524" s="34">
        <v>42265.375</v>
      </c>
      <c r="B524" s="35">
        <v>42264</v>
      </c>
      <c r="C524" s="36" t="s">
        <v>15</v>
      </c>
    </row>
    <row r="525" spans="1:3" x14ac:dyDescent="0.25">
      <c r="A525" s="34">
        <v>42266.375</v>
      </c>
      <c r="B525" s="35">
        <v>42265</v>
      </c>
      <c r="C525" s="36">
        <v>19</v>
      </c>
    </row>
    <row r="526" spans="1:3" x14ac:dyDescent="0.25">
      <c r="A526" s="34">
        <v>42267.375</v>
      </c>
      <c r="B526" s="35">
        <v>42266</v>
      </c>
      <c r="C526" s="36">
        <v>23</v>
      </c>
    </row>
    <row r="527" spans="1:3" x14ac:dyDescent="0.25">
      <c r="A527" s="34">
        <v>42268.375</v>
      </c>
      <c r="B527" s="35">
        <v>42267</v>
      </c>
      <c r="C527" s="36">
        <v>17</v>
      </c>
    </row>
    <row r="528" spans="1:3" x14ac:dyDescent="0.25">
      <c r="A528" s="34">
        <v>42269.375</v>
      </c>
      <c r="B528" s="35">
        <v>42268</v>
      </c>
      <c r="C528" s="36">
        <v>25.6</v>
      </c>
    </row>
    <row r="529" spans="1:3" x14ac:dyDescent="0.25">
      <c r="A529" s="34">
        <v>42270.375</v>
      </c>
      <c r="B529" s="35">
        <v>42269</v>
      </c>
      <c r="C529" s="36">
        <v>10</v>
      </c>
    </row>
    <row r="530" spans="1:3" x14ac:dyDescent="0.25">
      <c r="A530" s="34">
        <v>42271.375</v>
      </c>
      <c r="B530" s="35">
        <v>42270</v>
      </c>
      <c r="C530" s="36">
        <v>16.2</v>
      </c>
    </row>
    <row r="531" spans="1:3" x14ac:dyDescent="0.25">
      <c r="A531" s="34">
        <v>42272.375</v>
      </c>
      <c r="B531" s="35">
        <v>42271</v>
      </c>
      <c r="C531" s="36">
        <v>4.5999999999999996</v>
      </c>
    </row>
    <row r="532" spans="1:3" x14ac:dyDescent="0.25">
      <c r="A532" s="34">
        <v>42273.375</v>
      </c>
      <c r="B532" s="35">
        <v>42272</v>
      </c>
      <c r="C532" s="36">
        <v>14.6</v>
      </c>
    </row>
    <row r="533" spans="1:3" x14ac:dyDescent="0.25">
      <c r="A533" s="34">
        <v>42274.375</v>
      </c>
      <c r="B533" s="35">
        <v>42273</v>
      </c>
      <c r="C533" s="36">
        <v>10.199999999999999</v>
      </c>
    </row>
    <row r="534" spans="1:3" x14ac:dyDescent="0.25">
      <c r="A534" s="34">
        <v>42275.375</v>
      </c>
      <c r="B534" s="35">
        <v>42274</v>
      </c>
      <c r="C534" s="36">
        <v>8.3000000000000007</v>
      </c>
    </row>
    <row r="535" spans="1:3" x14ac:dyDescent="0.25">
      <c r="A535" s="34">
        <v>42276.375</v>
      </c>
      <c r="B535" s="35">
        <v>42275</v>
      </c>
      <c r="C535" s="36">
        <v>19.3</v>
      </c>
    </row>
    <row r="536" spans="1:3" x14ac:dyDescent="0.25">
      <c r="A536" s="34">
        <v>42277.375</v>
      </c>
      <c r="B536" s="35">
        <v>42276</v>
      </c>
      <c r="C536" s="36">
        <v>22</v>
      </c>
    </row>
    <row r="537" spans="1:3" x14ac:dyDescent="0.25">
      <c r="A537" s="34">
        <v>42278.375</v>
      </c>
      <c r="B537" s="35">
        <v>42277</v>
      </c>
      <c r="C537" s="36">
        <v>20</v>
      </c>
    </row>
    <row r="538" spans="1:3" x14ac:dyDescent="0.25">
      <c r="A538" s="34">
        <v>42279.375</v>
      </c>
      <c r="B538" s="35">
        <v>42278</v>
      </c>
      <c r="C538" s="36">
        <v>16.5</v>
      </c>
    </row>
    <row r="539" spans="1:3" x14ac:dyDescent="0.25">
      <c r="A539" s="34">
        <v>42280.375</v>
      </c>
      <c r="B539" s="35">
        <v>42279</v>
      </c>
      <c r="C539" s="36">
        <v>4.5999999999999996</v>
      </c>
    </row>
    <row r="540" spans="1:3" x14ac:dyDescent="0.25">
      <c r="A540" s="34">
        <v>42281.375</v>
      </c>
      <c r="B540" s="35">
        <v>42280</v>
      </c>
      <c r="C540" s="36">
        <v>10</v>
      </c>
    </row>
    <row r="541" spans="1:3" x14ac:dyDescent="0.25">
      <c r="A541" s="34">
        <v>42282.375</v>
      </c>
      <c r="B541" s="35">
        <v>42281</v>
      </c>
      <c r="C541" s="36">
        <v>25.6</v>
      </c>
    </row>
    <row r="542" spans="1:3" x14ac:dyDescent="0.25">
      <c r="A542" s="34">
        <v>42283.375</v>
      </c>
      <c r="B542" s="35">
        <v>42282</v>
      </c>
      <c r="C542" s="36">
        <v>7.5</v>
      </c>
    </row>
    <row r="543" spans="1:3" x14ac:dyDescent="0.25">
      <c r="A543" s="34">
        <v>42284.375</v>
      </c>
      <c r="B543" s="35">
        <v>42283</v>
      </c>
      <c r="C543" s="36" t="s">
        <v>15</v>
      </c>
    </row>
    <row r="544" spans="1:3" x14ac:dyDescent="0.25">
      <c r="A544" s="34">
        <v>42285.375</v>
      </c>
      <c r="B544" s="35">
        <v>42284</v>
      </c>
      <c r="C544" s="36">
        <v>20.5</v>
      </c>
    </row>
    <row r="545" spans="1:3" x14ac:dyDescent="0.25">
      <c r="A545" s="34">
        <v>42286.375</v>
      </c>
      <c r="B545" s="35">
        <v>42285</v>
      </c>
      <c r="C545" s="36">
        <v>10</v>
      </c>
    </row>
    <row r="546" spans="1:3" x14ac:dyDescent="0.25">
      <c r="A546" s="34">
        <v>42287.375</v>
      </c>
      <c r="B546" s="35">
        <v>42286</v>
      </c>
      <c r="C546" s="36">
        <v>26.5</v>
      </c>
    </row>
    <row r="547" spans="1:3" x14ac:dyDescent="0.25">
      <c r="A547" s="34">
        <v>42288.375</v>
      </c>
      <c r="B547" s="35">
        <v>42287</v>
      </c>
      <c r="C547" s="36">
        <v>11</v>
      </c>
    </row>
    <row r="548" spans="1:3" x14ac:dyDescent="0.25">
      <c r="A548" s="34">
        <v>42289.375</v>
      </c>
      <c r="B548" s="35">
        <v>42288</v>
      </c>
      <c r="C548" s="36">
        <v>16</v>
      </c>
    </row>
    <row r="549" spans="1:3" x14ac:dyDescent="0.25">
      <c r="A549" s="34">
        <v>42290.375</v>
      </c>
      <c r="B549" s="35">
        <v>42289</v>
      </c>
      <c r="C549" s="36">
        <v>26</v>
      </c>
    </row>
    <row r="550" spans="1:3" x14ac:dyDescent="0.25">
      <c r="A550" s="34">
        <v>42291.375</v>
      </c>
      <c r="B550" s="35">
        <v>42290</v>
      </c>
      <c r="C550" s="36" t="s">
        <v>15</v>
      </c>
    </row>
    <row r="551" spans="1:3" x14ac:dyDescent="0.25">
      <c r="A551" s="34">
        <v>42292.375</v>
      </c>
      <c r="B551" s="35">
        <v>42291</v>
      </c>
      <c r="C551" s="36">
        <v>50.6</v>
      </c>
    </row>
    <row r="552" spans="1:3" x14ac:dyDescent="0.25">
      <c r="A552" s="34">
        <v>42293.375</v>
      </c>
      <c r="B552" s="35">
        <v>42292</v>
      </c>
      <c r="C552" s="36">
        <v>25.5</v>
      </c>
    </row>
    <row r="553" spans="1:3" x14ac:dyDescent="0.25">
      <c r="A553" s="34">
        <v>42294.375</v>
      </c>
      <c r="B553" s="35">
        <v>42293</v>
      </c>
      <c r="C553" s="36">
        <v>10</v>
      </c>
    </row>
    <row r="554" spans="1:3" x14ac:dyDescent="0.25">
      <c r="A554" s="34">
        <v>42295.375</v>
      </c>
      <c r="B554" s="35">
        <v>42294</v>
      </c>
      <c r="C554" s="36">
        <v>17.5</v>
      </c>
    </row>
    <row r="555" spans="1:3" x14ac:dyDescent="0.25">
      <c r="A555" s="34">
        <v>42296.375</v>
      </c>
      <c r="B555" s="35">
        <v>42295</v>
      </c>
      <c r="C555" s="36">
        <v>20.2</v>
      </c>
    </row>
    <row r="556" spans="1:3" x14ac:dyDescent="0.25">
      <c r="A556" s="34">
        <v>42297.375</v>
      </c>
      <c r="B556" s="35">
        <v>42296</v>
      </c>
      <c r="C556" s="36" t="s">
        <v>15</v>
      </c>
    </row>
    <row r="557" spans="1:3" x14ac:dyDescent="0.25">
      <c r="A557" s="34">
        <v>42298.375</v>
      </c>
      <c r="B557" s="35">
        <v>42297</v>
      </c>
      <c r="C557" s="36">
        <v>0</v>
      </c>
    </row>
    <row r="558" spans="1:3" x14ac:dyDescent="0.25">
      <c r="A558" s="34">
        <v>42299.375</v>
      </c>
      <c r="B558" s="35">
        <v>42298</v>
      </c>
      <c r="C558" s="36">
        <v>0</v>
      </c>
    </row>
    <row r="559" spans="1:3" x14ac:dyDescent="0.25">
      <c r="A559" s="34">
        <v>42300.375</v>
      </c>
      <c r="B559" s="35">
        <v>42299</v>
      </c>
      <c r="C559" s="36">
        <v>10</v>
      </c>
    </row>
    <row r="560" spans="1:3" x14ac:dyDescent="0.25">
      <c r="A560" s="34">
        <v>42301.375</v>
      </c>
      <c r="B560" s="35">
        <v>42300</v>
      </c>
      <c r="C560" s="36">
        <v>14.5</v>
      </c>
    </row>
    <row r="561" spans="1:3" x14ac:dyDescent="0.25">
      <c r="A561" s="34">
        <v>42302.375</v>
      </c>
      <c r="B561" s="35">
        <v>42301</v>
      </c>
      <c r="C561" s="36">
        <v>8.4</v>
      </c>
    </row>
    <row r="562" spans="1:3" x14ac:dyDescent="0.25">
      <c r="A562" s="34">
        <v>42303.375</v>
      </c>
      <c r="B562" s="35">
        <v>42302</v>
      </c>
      <c r="C562" s="36">
        <v>16</v>
      </c>
    </row>
    <row r="563" spans="1:3" x14ac:dyDescent="0.25">
      <c r="A563" s="34">
        <v>42304.375</v>
      </c>
      <c r="B563" s="35">
        <v>42303</v>
      </c>
      <c r="C563" s="36">
        <v>3.5</v>
      </c>
    </row>
    <row r="564" spans="1:3" x14ac:dyDescent="0.25">
      <c r="A564" s="34">
        <v>42305.375</v>
      </c>
      <c r="B564" s="35">
        <v>42304</v>
      </c>
      <c r="C564" s="36" t="s">
        <v>15</v>
      </c>
    </row>
    <row r="565" spans="1:3" x14ac:dyDescent="0.25">
      <c r="A565" s="34">
        <v>42306.375</v>
      </c>
      <c r="B565" s="35">
        <v>42305</v>
      </c>
      <c r="C565" s="36">
        <v>0</v>
      </c>
    </row>
    <row r="566" spans="1:3" x14ac:dyDescent="0.25">
      <c r="A566" s="34">
        <v>42307.375</v>
      </c>
      <c r="B566" s="35">
        <v>42306</v>
      </c>
      <c r="C566" s="36">
        <v>20.5</v>
      </c>
    </row>
    <row r="567" spans="1:3" x14ac:dyDescent="0.25">
      <c r="A567" s="34">
        <v>42308.375</v>
      </c>
      <c r="B567" s="35">
        <v>42307</v>
      </c>
      <c r="C567" s="36">
        <v>10</v>
      </c>
    </row>
    <row r="568" spans="1:3" x14ac:dyDescent="0.25">
      <c r="A568" s="34">
        <v>42309.375</v>
      </c>
      <c r="B568" s="35">
        <v>42308</v>
      </c>
      <c r="C568" s="36">
        <v>16.5</v>
      </c>
    </row>
    <row r="569" spans="1:3" x14ac:dyDescent="0.25">
      <c r="A569" s="34">
        <v>42310.375</v>
      </c>
      <c r="B569" s="35">
        <v>42309</v>
      </c>
      <c r="C569" s="36">
        <v>20</v>
      </c>
    </row>
    <row r="570" spans="1:3" x14ac:dyDescent="0.25">
      <c r="A570" s="34">
        <v>42311.375</v>
      </c>
      <c r="B570" s="35">
        <v>42310</v>
      </c>
      <c r="C570" s="36">
        <v>10.5</v>
      </c>
    </row>
    <row r="571" spans="1:3" x14ac:dyDescent="0.25">
      <c r="A571" s="34">
        <v>42312.375</v>
      </c>
      <c r="B571" s="35">
        <v>42311</v>
      </c>
      <c r="C571" s="36" t="s">
        <v>15</v>
      </c>
    </row>
    <row r="572" spans="1:3" x14ac:dyDescent="0.25">
      <c r="A572" s="34">
        <v>42313.375</v>
      </c>
      <c r="B572" s="35">
        <v>42312</v>
      </c>
      <c r="C572" s="36">
        <v>14.6</v>
      </c>
    </row>
    <row r="573" spans="1:3" x14ac:dyDescent="0.25">
      <c r="A573" s="34">
        <v>42314.375</v>
      </c>
      <c r="B573" s="35">
        <v>42313</v>
      </c>
      <c r="C573" s="36">
        <v>11.3</v>
      </c>
    </row>
    <row r="574" spans="1:3" x14ac:dyDescent="0.25">
      <c r="A574" s="34">
        <v>42315.375</v>
      </c>
      <c r="B574" s="35">
        <v>42314</v>
      </c>
      <c r="C574" s="36">
        <v>16</v>
      </c>
    </row>
    <row r="575" spans="1:3" x14ac:dyDescent="0.25">
      <c r="A575" s="34">
        <v>42316.375</v>
      </c>
      <c r="B575" s="35">
        <v>42315</v>
      </c>
      <c r="C575" s="36" t="s">
        <v>15</v>
      </c>
    </row>
    <row r="576" spans="1:3" x14ac:dyDescent="0.25">
      <c r="A576" s="34">
        <v>42317.375</v>
      </c>
      <c r="B576" s="35">
        <v>42316</v>
      </c>
      <c r="C576" s="36">
        <v>10.8</v>
      </c>
    </row>
    <row r="577" spans="1:3" x14ac:dyDescent="0.25">
      <c r="A577" s="34">
        <v>42318.375</v>
      </c>
      <c r="B577" s="35">
        <v>42317</v>
      </c>
      <c r="C577" s="36">
        <v>7.4</v>
      </c>
    </row>
    <row r="578" spans="1:3" x14ac:dyDescent="0.25">
      <c r="A578" s="34">
        <v>42319.375</v>
      </c>
      <c r="B578" s="35">
        <v>42318</v>
      </c>
      <c r="C578" s="36">
        <v>0</v>
      </c>
    </row>
    <row r="579" spans="1:3" x14ac:dyDescent="0.25">
      <c r="A579" s="34">
        <v>42320.375</v>
      </c>
      <c r="B579" s="35">
        <v>42319</v>
      </c>
      <c r="C579" s="36">
        <v>16.5</v>
      </c>
    </row>
    <row r="580" spans="1:3" x14ac:dyDescent="0.25">
      <c r="A580" s="34">
        <v>42321.375</v>
      </c>
      <c r="B580" s="35">
        <v>42320</v>
      </c>
      <c r="C580" s="36">
        <v>10</v>
      </c>
    </row>
    <row r="581" spans="1:3" x14ac:dyDescent="0.25">
      <c r="A581" s="34">
        <v>42322.375</v>
      </c>
      <c r="B581" s="35">
        <v>42321</v>
      </c>
      <c r="C581" s="36" t="s">
        <v>15</v>
      </c>
    </row>
    <row r="582" spans="1:3" x14ac:dyDescent="0.25">
      <c r="A582" s="34">
        <v>42323.375</v>
      </c>
      <c r="B582" s="35">
        <v>42322</v>
      </c>
      <c r="C582" s="36">
        <v>16.3</v>
      </c>
    </row>
    <row r="583" spans="1:3" x14ac:dyDescent="0.25">
      <c r="A583" s="34">
        <v>42324.375</v>
      </c>
      <c r="B583" s="35">
        <v>42323</v>
      </c>
      <c r="C583" s="36">
        <v>10</v>
      </c>
    </row>
    <row r="584" spans="1:3" x14ac:dyDescent="0.25">
      <c r="A584" s="34">
        <v>42325.375</v>
      </c>
      <c r="B584" s="35">
        <v>42324</v>
      </c>
      <c r="C584" s="36" t="s">
        <v>15</v>
      </c>
    </row>
    <row r="585" spans="1:3" x14ac:dyDescent="0.25">
      <c r="A585" s="34">
        <v>42326.375</v>
      </c>
      <c r="B585" s="35">
        <v>42325</v>
      </c>
      <c r="C585" s="36">
        <v>0</v>
      </c>
    </row>
    <row r="586" spans="1:3" x14ac:dyDescent="0.25">
      <c r="A586" s="34">
        <v>42327.375</v>
      </c>
      <c r="B586" s="35">
        <v>42326</v>
      </c>
      <c r="C586" s="36">
        <v>0</v>
      </c>
    </row>
    <row r="587" spans="1:3" x14ac:dyDescent="0.25">
      <c r="A587" s="34">
        <v>42328.375</v>
      </c>
      <c r="B587" s="35">
        <v>42327</v>
      </c>
      <c r="C587" s="36">
        <v>0</v>
      </c>
    </row>
    <row r="588" spans="1:3" x14ac:dyDescent="0.25">
      <c r="A588" s="34">
        <v>42329.375</v>
      </c>
      <c r="B588" s="35">
        <v>42328</v>
      </c>
      <c r="C588" s="36">
        <v>0</v>
      </c>
    </row>
    <row r="589" spans="1:3" x14ac:dyDescent="0.25">
      <c r="A589" s="34">
        <v>42330.375</v>
      </c>
      <c r="B589" s="35">
        <v>42329</v>
      </c>
      <c r="C589" s="36" t="s">
        <v>15</v>
      </c>
    </row>
    <row r="590" spans="1:3" x14ac:dyDescent="0.25">
      <c r="A590" s="34">
        <v>42331.375</v>
      </c>
      <c r="B590" s="35">
        <v>42330</v>
      </c>
      <c r="C590" s="36">
        <v>0</v>
      </c>
    </row>
    <row r="591" spans="1:3" x14ac:dyDescent="0.25">
      <c r="A591" s="34">
        <v>42332.375</v>
      </c>
      <c r="B591" s="35">
        <v>42331</v>
      </c>
      <c r="C591" s="36">
        <v>0</v>
      </c>
    </row>
    <row r="592" spans="1:3" x14ac:dyDescent="0.25">
      <c r="A592" s="34">
        <v>42333.375</v>
      </c>
      <c r="B592" s="35">
        <v>42332</v>
      </c>
      <c r="C592" s="36">
        <v>0</v>
      </c>
    </row>
    <row r="593" spans="1:3" x14ac:dyDescent="0.25">
      <c r="A593" s="34">
        <v>42334.375</v>
      </c>
      <c r="B593" s="35">
        <v>42333</v>
      </c>
      <c r="C593" s="36">
        <v>0</v>
      </c>
    </row>
    <row r="594" spans="1:3" x14ac:dyDescent="0.25">
      <c r="A594" s="34">
        <v>42335.375</v>
      </c>
      <c r="B594" s="35">
        <v>42334</v>
      </c>
      <c r="C594" s="36">
        <v>0</v>
      </c>
    </row>
    <row r="595" spans="1:3" x14ac:dyDescent="0.25">
      <c r="A595" s="34">
        <v>42336.375</v>
      </c>
      <c r="B595" s="35">
        <v>42335</v>
      </c>
      <c r="C595" s="36">
        <v>0</v>
      </c>
    </row>
    <row r="596" spans="1:3" x14ac:dyDescent="0.25">
      <c r="A596" s="34">
        <v>42337.375</v>
      </c>
      <c r="B596" s="35">
        <v>42336</v>
      </c>
      <c r="C596" s="36">
        <v>0</v>
      </c>
    </row>
    <row r="597" spans="1:3" x14ac:dyDescent="0.25">
      <c r="A597" s="34">
        <v>42338.375</v>
      </c>
      <c r="B597" s="35">
        <v>42337</v>
      </c>
      <c r="C597" s="36">
        <v>0</v>
      </c>
    </row>
    <row r="598" spans="1:3" x14ac:dyDescent="0.25">
      <c r="A598" s="34">
        <v>42339.375</v>
      </c>
      <c r="B598" s="35">
        <v>42338</v>
      </c>
      <c r="C598" s="36" t="s">
        <v>44</v>
      </c>
    </row>
    <row r="599" spans="1:3" x14ac:dyDescent="0.25">
      <c r="A599" s="34">
        <v>42340.375</v>
      </c>
      <c r="B599" s="35">
        <v>42339</v>
      </c>
      <c r="C599" s="36" t="s">
        <v>44</v>
      </c>
    </row>
    <row r="600" spans="1:3" x14ac:dyDescent="0.25">
      <c r="A600" s="34">
        <v>42341.375</v>
      </c>
      <c r="B600" s="35">
        <v>42340</v>
      </c>
      <c r="C600" s="36" t="s">
        <v>44</v>
      </c>
    </row>
    <row r="601" spans="1:3" x14ac:dyDescent="0.25">
      <c r="A601" s="34">
        <v>42342.375</v>
      </c>
      <c r="B601" s="35">
        <v>42341</v>
      </c>
      <c r="C601" s="36" t="s">
        <v>44</v>
      </c>
    </row>
    <row r="602" spans="1:3" x14ac:dyDescent="0.25">
      <c r="A602" s="34">
        <v>42343.375</v>
      </c>
      <c r="B602" s="35">
        <v>42342</v>
      </c>
      <c r="C602" s="36" t="s">
        <v>44</v>
      </c>
    </row>
    <row r="603" spans="1:3" x14ac:dyDescent="0.25">
      <c r="A603" s="34">
        <v>42344.375</v>
      </c>
      <c r="B603" s="35">
        <v>42343</v>
      </c>
      <c r="C603" s="36" t="s">
        <v>44</v>
      </c>
    </row>
    <row r="604" spans="1:3" x14ac:dyDescent="0.25">
      <c r="A604" s="34">
        <v>42345.375</v>
      </c>
      <c r="B604" s="35">
        <v>42344</v>
      </c>
      <c r="C604" s="36" t="s">
        <v>44</v>
      </c>
    </row>
    <row r="605" spans="1:3" x14ac:dyDescent="0.25">
      <c r="A605" s="34">
        <v>42346.375</v>
      </c>
      <c r="B605" s="35">
        <v>42345</v>
      </c>
      <c r="C605" s="36" t="s">
        <v>44</v>
      </c>
    </row>
    <row r="606" spans="1:3" x14ac:dyDescent="0.25">
      <c r="A606" s="34">
        <v>42347.375</v>
      </c>
      <c r="B606" s="35">
        <v>42346</v>
      </c>
      <c r="C606" s="36" t="s">
        <v>44</v>
      </c>
    </row>
    <row r="607" spans="1:3" x14ac:dyDescent="0.25">
      <c r="A607" s="34">
        <v>42348.375</v>
      </c>
      <c r="B607" s="35">
        <v>42347</v>
      </c>
      <c r="C607" s="36" t="s">
        <v>44</v>
      </c>
    </row>
    <row r="608" spans="1:3" x14ac:dyDescent="0.25">
      <c r="A608" s="34">
        <v>42349.375</v>
      </c>
      <c r="B608" s="35">
        <v>42348</v>
      </c>
      <c r="C608" s="36" t="s">
        <v>44</v>
      </c>
    </row>
    <row r="609" spans="1:3" x14ac:dyDescent="0.25">
      <c r="A609" s="34">
        <v>42350.375</v>
      </c>
      <c r="B609" s="35">
        <v>42349</v>
      </c>
      <c r="C609" s="36" t="s">
        <v>44</v>
      </c>
    </row>
    <row r="610" spans="1:3" x14ac:dyDescent="0.25">
      <c r="A610" s="34">
        <v>42351.375</v>
      </c>
      <c r="B610" s="35">
        <v>42350</v>
      </c>
      <c r="C610" s="36" t="s">
        <v>44</v>
      </c>
    </row>
    <row r="611" spans="1:3" x14ac:dyDescent="0.25">
      <c r="A611" s="34">
        <v>42352.375</v>
      </c>
      <c r="B611" s="35">
        <v>42351</v>
      </c>
      <c r="C611" s="36" t="s">
        <v>44</v>
      </c>
    </row>
    <row r="612" spans="1:3" x14ac:dyDescent="0.25">
      <c r="A612" s="34">
        <v>42353.375</v>
      </c>
      <c r="B612" s="35">
        <v>42352</v>
      </c>
      <c r="C612" s="36" t="s">
        <v>44</v>
      </c>
    </row>
    <row r="613" spans="1:3" x14ac:dyDescent="0.25">
      <c r="A613" s="34">
        <v>42354.375</v>
      </c>
      <c r="B613" s="35">
        <v>42353</v>
      </c>
      <c r="C613" s="36" t="s">
        <v>44</v>
      </c>
    </row>
    <row r="614" spans="1:3" x14ac:dyDescent="0.25">
      <c r="A614" s="34">
        <v>42355.375</v>
      </c>
      <c r="B614" s="35">
        <v>42354</v>
      </c>
      <c r="C614" s="36" t="s">
        <v>44</v>
      </c>
    </row>
    <row r="615" spans="1:3" x14ac:dyDescent="0.25">
      <c r="A615" s="34">
        <v>42356.375</v>
      </c>
      <c r="B615" s="35">
        <v>42355</v>
      </c>
      <c r="C615" s="36" t="s">
        <v>44</v>
      </c>
    </row>
    <row r="616" spans="1:3" x14ac:dyDescent="0.25">
      <c r="A616" s="34">
        <v>42357.375</v>
      </c>
      <c r="B616" s="35">
        <v>42356</v>
      </c>
      <c r="C616" s="36" t="s">
        <v>44</v>
      </c>
    </row>
    <row r="617" spans="1:3" x14ac:dyDescent="0.25">
      <c r="A617" s="34">
        <v>42358.375</v>
      </c>
      <c r="B617" s="35">
        <v>42357</v>
      </c>
      <c r="C617" s="36" t="s">
        <v>44</v>
      </c>
    </row>
    <row r="618" spans="1:3" x14ac:dyDescent="0.25">
      <c r="A618" s="34">
        <v>42359.375</v>
      </c>
      <c r="B618" s="35">
        <v>42358</v>
      </c>
      <c r="C618" s="36" t="s">
        <v>44</v>
      </c>
    </row>
    <row r="619" spans="1:3" x14ac:dyDescent="0.25">
      <c r="A619" s="34">
        <v>42360.375</v>
      </c>
      <c r="B619" s="35">
        <v>42359</v>
      </c>
      <c r="C619" s="36" t="s">
        <v>44</v>
      </c>
    </row>
    <row r="620" spans="1:3" x14ac:dyDescent="0.25">
      <c r="A620" s="34">
        <v>42361.375</v>
      </c>
      <c r="B620" s="35">
        <v>42360</v>
      </c>
      <c r="C620" s="36" t="s">
        <v>44</v>
      </c>
    </row>
    <row r="621" spans="1:3" x14ac:dyDescent="0.25">
      <c r="A621" s="34">
        <v>42362.375</v>
      </c>
      <c r="B621" s="35">
        <v>42361</v>
      </c>
      <c r="C621" s="36" t="s">
        <v>44</v>
      </c>
    </row>
    <row r="622" spans="1:3" x14ac:dyDescent="0.25">
      <c r="A622" s="34">
        <v>42363.375</v>
      </c>
      <c r="B622" s="35">
        <v>42362</v>
      </c>
      <c r="C622" s="36" t="s">
        <v>44</v>
      </c>
    </row>
    <row r="623" spans="1:3" x14ac:dyDescent="0.25">
      <c r="A623" s="34">
        <v>42364.375</v>
      </c>
      <c r="B623" s="35">
        <v>42363</v>
      </c>
      <c r="C623" s="36" t="s">
        <v>44</v>
      </c>
    </row>
    <row r="624" spans="1:3" x14ac:dyDescent="0.25">
      <c r="A624" s="34">
        <v>42365.375</v>
      </c>
      <c r="B624" s="35">
        <v>42364</v>
      </c>
      <c r="C624" s="36" t="s">
        <v>44</v>
      </c>
    </row>
    <row r="625" spans="1:3" x14ac:dyDescent="0.25">
      <c r="A625" s="34">
        <v>42366.375</v>
      </c>
      <c r="B625" s="35">
        <v>42365</v>
      </c>
      <c r="C625" s="36" t="s">
        <v>44</v>
      </c>
    </row>
    <row r="626" spans="1:3" x14ac:dyDescent="0.25">
      <c r="A626" s="34">
        <v>42367.375</v>
      </c>
      <c r="B626" s="35">
        <v>42366</v>
      </c>
      <c r="C626" s="36" t="s">
        <v>44</v>
      </c>
    </row>
    <row r="627" spans="1:3" x14ac:dyDescent="0.25">
      <c r="A627" s="34">
        <v>42368.375</v>
      </c>
      <c r="B627" s="35">
        <v>42367</v>
      </c>
      <c r="C627" s="36" t="s">
        <v>44</v>
      </c>
    </row>
    <row r="628" spans="1:3" x14ac:dyDescent="0.25">
      <c r="A628" s="34">
        <v>42369.375</v>
      </c>
      <c r="B628" s="35">
        <v>42368</v>
      </c>
      <c r="C628" s="36" t="s">
        <v>44</v>
      </c>
    </row>
    <row r="629" spans="1:3" x14ac:dyDescent="0.25">
      <c r="A629" s="34">
        <v>42370.375</v>
      </c>
      <c r="B629" s="35">
        <v>42369</v>
      </c>
      <c r="C629" s="36">
        <v>0</v>
      </c>
    </row>
    <row r="630" spans="1:3" x14ac:dyDescent="0.25">
      <c r="A630" s="34">
        <v>42371.375</v>
      </c>
      <c r="B630" s="35">
        <v>42370</v>
      </c>
      <c r="C630" s="36">
        <v>0</v>
      </c>
    </row>
    <row r="631" spans="1:3" x14ac:dyDescent="0.25">
      <c r="A631" s="34">
        <v>42372.375</v>
      </c>
      <c r="B631" s="35">
        <v>42371</v>
      </c>
      <c r="C631" s="36">
        <v>0</v>
      </c>
    </row>
    <row r="632" spans="1:3" x14ac:dyDescent="0.25">
      <c r="A632" s="34">
        <v>42373.375</v>
      </c>
      <c r="B632" s="35">
        <v>42372</v>
      </c>
      <c r="C632" s="36">
        <v>0</v>
      </c>
    </row>
    <row r="633" spans="1:3" x14ac:dyDescent="0.25">
      <c r="A633" s="34">
        <v>42374.375</v>
      </c>
      <c r="B633" s="35">
        <v>42373</v>
      </c>
      <c r="C633" s="36">
        <v>0</v>
      </c>
    </row>
    <row r="634" spans="1:3" x14ac:dyDescent="0.25">
      <c r="A634" s="34">
        <v>42375.375</v>
      </c>
      <c r="B634" s="35">
        <v>42374</v>
      </c>
      <c r="C634" s="36">
        <v>0</v>
      </c>
    </row>
    <row r="635" spans="1:3" x14ac:dyDescent="0.25">
      <c r="A635" s="34">
        <v>42376.375</v>
      </c>
      <c r="B635" s="35">
        <v>42375</v>
      </c>
      <c r="C635" s="36">
        <v>0</v>
      </c>
    </row>
    <row r="636" spans="1:3" x14ac:dyDescent="0.25">
      <c r="A636" s="34">
        <v>42377.375</v>
      </c>
      <c r="B636" s="35">
        <v>42376</v>
      </c>
      <c r="C636" s="36">
        <v>0</v>
      </c>
    </row>
    <row r="637" spans="1:3" x14ac:dyDescent="0.25">
      <c r="A637" s="34">
        <v>42378.375</v>
      </c>
      <c r="B637" s="35">
        <v>42377</v>
      </c>
      <c r="C637" s="36">
        <v>0</v>
      </c>
    </row>
    <row r="638" spans="1:3" x14ac:dyDescent="0.25">
      <c r="A638" s="34">
        <v>42379.375</v>
      </c>
      <c r="B638" s="35">
        <v>42378</v>
      </c>
      <c r="C638" s="36">
        <v>0</v>
      </c>
    </row>
    <row r="639" spans="1:3" x14ac:dyDescent="0.25">
      <c r="A639" s="34">
        <v>42380.375</v>
      </c>
      <c r="B639" s="35">
        <v>42379</v>
      </c>
      <c r="C639" s="36">
        <v>0</v>
      </c>
    </row>
    <row r="640" spans="1:3" x14ac:dyDescent="0.25">
      <c r="A640" s="34">
        <v>42381.375</v>
      </c>
      <c r="B640" s="35">
        <v>42380</v>
      </c>
      <c r="C640" s="36">
        <v>0</v>
      </c>
    </row>
    <row r="641" spans="1:3" x14ac:dyDescent="0.25">
      <c r="A641" s="34">
        <v>42382.375</v>
      </c>
      <c r="B641" s="35">
        <v>42381</v>
      </c>
      <c r="C641" s="36">
        <v>0</v>
      </c>
    </row>
    <row r="642" spans="1:3" x14ac:dyDescent="0.25">
      <c r="A642" s="34">
        <v>42383.375</v>
      </c>
      <c r="B642" s="35">
        <v>42382</v>
      </c>
      <c r="C642" s="36">
        <v>3.4</v>
      </c>
    </row>
    <row r="643" spans="1:3" x14ac:dyDescent="0.25">
      <c r="A643" s="34">
        <v>42384.375</v>
      </c>
      <c r="B643" s="35">
        <v>42383</v>
      </c>
      <c r="C643" s="36">
        <v>10.199999999999999</v>
      </c>
    </row>
    <row r="644" spans="1:3" x14ac:dyDescent="0.25">
      <c r="A644" s="34">
        <v>42385.375</v>
      </c>
      <c r="B644" s="35">
        <v>42384</v>
      </c>
      <c r="C644" s="36">
        <v>0</v>
      </c>
    </row>
    <row r="645" spans="1:3" x14ac:dyDescent="0.25">
      <c r="A645" s="34">
        <v>42386.375</v>
      </c>
      <c r="B645" s="35">
        <v>42385</v>
      </c>
      <c r="C645" s="36">
        <v>0</v>
      </c>
    </row>
    <row r="646" spans="1:3" x14ac:dyDescent="0.25">
      <c r="A646" s="34">
        <v>42387.375</v>
      </c>
      <c r="B646" s="35">
        <v>42386</v>
      </c>
      <c r="C646" s="36">
        <v>0</v>
      </c>
    </row>
    <row r="647" spans="1:3" x14ac:dyDescent="0.25">
      <c r="A647" s="34">
        <v>42388.375</v>
      </c>
      <c r="B647" s="35">
        <v>42387</v>
      </c>
      <c r="C647" s="36">
        <v>0</v>
      </c>
    </row>
    <row r="648" spans="1:3" x14ac:dyDescent="0.25">
      <c r="A648" s="34">
        <v>42389.375</v>
      </c>
      <c r="B648" s="35">
        <v>42388</v>
      </c>
      <c r="C648" s="36">
        <v>0</v>
      </c>
    </row>
    <row r="649" spans="1:3" x14ac:dyDescent="0.25">
      <c r="A649" s="34">
        <v>42390.375</v>
      </c>
      <c r="B649" s="35">
        <v>42389</v>
      </c>
      <c r="C649" s="36">
        <v>0</v>
      </c>
    </row>
    <row r="650" spans="1:3" x14ac:dyDescent="0.25">
      <c r="A650" s="34">
        <v>42391.375</v>
      </c>
      <c r="B650" s="35">
        <v>42390</v>
      </c>
      <c r="C650" s="36">
        <v>0</v>
      </c>
    </row>
    <row r="651" spans="1:3" x14ac:dyDescent="0.25">
      <c r="A651" s="34">
        <v>42392.375</v>
      </c>
      <c r="B651" s="35">
        <v>42391</v>
      </c>
      <c r="C651" s="36">
        <v>0</v>
      </c>
    </row>
    <row r="652" spans="1:3" x14ac:dyDescent="0.25">
      <c r="A652" s="34">
        <v>42393.375</v>
      </c>
      <c r="B652" s="35">
        <v>42392</v>
      </c>
      <c r="C652" s="36">
        <v>0</v>
      </c>
    </row>
    <row r="653" spans="1:3" x14ac:dyDescent="0.25">
      <c r="A653" s="34">
        <v>42394.375</v>
      </c>
      <c r="B653" s="35">
        <v>42393</v>
      </c>
      <c r="C653" s="36">
        <v>0</v>
      </c>
    </row>
    <row r="654" spans="1:3" x14ac:dyDescent="0.25">
      <c r="A654" s="34">
        <v>42395.375</v>
      </c>
      <c r="B654" s="35">
        <v>42394</v>
      </c>
      <c r="C654" s="36">
        <v>0</v>
      </c>
    </row>
    <row r="655" spans="1:3" x14ac:dyDescent="0.25">
      <c r="A655" s="34">
        <v>42396.375</v>
      </c>
      <c r="B655" s="35">
        <v>42395</v>
      </c>
      <c r="C655" s="36">
        <v>0</v>
      </c>
    </row>
    <row r="656" spans="1:3" x14ac:dyDescent="0.25">
      <c r="A656" s="34">
        <v>42397.375</v>
      </c>
      <c r="B656" s="35">
        <v>42396</v>
      </c>
      <c r="C656" s="36">
        <v>0</v>
      </c>
    </row>
    <row r="657" spans="1:3" x14ac:dyDescent="0.25">
      <c r="A657" s="34">
        <v>42398.375</v>
      </c>
      <c r="B657" s="35">
        <v>42397</v>
      </c>
      <c r="C657" s="36">
        <v>0</v>
      </c>
    </row>
    <row r="658" spans="1:3" x14ac:dyDescent="0.25">
      <c r="A658" s="34">
        <v>42399.375</v>
      </c>
      <c r="B658" s="35">
        <v>42398</v>
      </c>
      <c r="C658" s="36">
        <v>0</v>
      </c>
    </row>
    <row r="659" spans="1:3" x14ac:dyDescent="0.25">
      <c r="A659" s="34">
        <v>42400.375</v>
      </c>
      <c r="B659" s="35">
        <v>42399</v>
      </c>
      <c r="C659" s="36">
        <v>0</v>
      </c>
    </row>
    <row r="660" spans="1:3" x14ac:dyDescent="0.25">
      <c r="A660" s="34">
        <v>42401.375</v>
      </c>
      <c r="B660" s="35">
        <v>42400</v>
      </c>
      <c r="C660" s="36" t="s">
        <v>44</v>
      </c>
    </row>
    <row r="661" spans="1:3" x14ac:dyDescent="0.25">
      <c r="A661" s="34">
        <v>42402.375</v>
      </c>
      <c r="B661" s="35">
        <v>42401</v>
      </c>
      <c r="C661" s="36" t="s">
        <v>44</v>
      </c>
    </row>
    <row r="662" spans="1:3" x14ac:dyDescent="0.25">
      <c r="A662" s="34">
        <v>42403.375</v>
      </c>
      <c r="B662" s="35">
        <v>42402</v>
      </c>
      <c r="C662" s="36" t="s">
        <v>44</v>
      </c>
    </row>
    <row r="663" spans="1:3" x14ac:dyDescent="0.25">
      <c r="A663" s="34">
        <v>42404.375</v>
      </c>
      <c r="B663" s="35">
        <v>42403</v>
      </c>
      <c r="C663" s="36" t="s">
        <v>44</v>
      </c>
    </row>
    <row r="664" spans="1:3" x14ac:dyDescent="0.25">
      <c r="A664" s="34">
        <v>42405.375</v>
      </c>
      <c r="B664" s="35">
        <v>42404</v>
      </c>
      <c r="C664" s="36" t="s">
        <v>44</v>
      </c>
    </row>
    <row r="665" spans="1:3" x14ac:dyDescent="0.25">
      <c r="A665" s="34">
        <v>42406.375</v>
      </c>
      <c r="B665" s="35">
        <v>42405</v>
      </c>
      <c r="C665" s="36" t="s">
        <v>44</v>
      </c>
    </row>
    <row r="666" spans="1:3" x14ac:dyDescent="0.25">
      <c r="A666" s="34">
        <v>42407.375</v>
      </c>
      <c r="B666" s="35">
        <v>42406</v>
      </c>
      <c r="C666" s="36" t="s">
        <v>44</v>
      </c>
    </row>
    <row r="667" spans="1:3" x14ac:dyDescent="0.25">
      <c r="A667" s="34">
        <v>42408.375</v>
      </c>
      <c r="B667" s="35">
        <v>42407</v>
      </c>
      <c r="C667" s="36" t="s">
        <v>44</v>
      </c>
    </row>
    <row r="668" spans="1:3" x14ac:dyDescent="0.25">
      <c r="A668" s="34">
        <v>42409.375</v>
      </c>
      <c r="B668" s="35">
        <v>42408</v>
      </c>
      <c r="C668" s="36" t="s">
        <v>44</v>
      </c>
    </row>
    <row r="669" spans="1:3" x14ac:dyDescent="0.25">
      <c r="A669" s="34">
        <v>42410.375</v>
      </c>
      <c r="B669" s="35">
        <v>42409</v>
      </c>
      <c r="C669" s="36" t="s">
        <v>44</v>
      </c>
    </row>
    <row r="670" spans="1:3" x14ac:dyDescent="0.25">
      <c r="A670" s="34">
        <v>42411.375</v>
      </c>
      <c r="B670" s="35">
        <v>42410</v>
      </c>
      <c r="C670" s="36" t="s">
        <v>44</v>
      </c>
    </row>
    <row r="671" spans="1:3" x14ac:dyDescent="0.25">
      <c r="A671" s="34">
        <v>42412.375</v>
      </c>
      <c r="B671" s="35">
        <v>42411</v>
      </c>
      <c r="C671" s="36" t="s">
        <v>44</v>
      </c>
    </row>
    <row r="672" spans="1:3" x14ac:dyDescent="0.25">
      <c r="A672" s="34">
        <v>42413.375</v>
      </c>
      <c r="B672" s="35">
        <v>42412</v>
      </c>
      <c r="C672" s="36" t="s">
        <v>44</v>
      </c>
    </row>
    <row r="673" spans="1:3" x14ac:dyDescent="0.25">
      <c r="A673" s="34">
        <v>42414.375</v>
      </c>
      <c r="B673" s="35">
        <v>42413</v>
      </c>
      <c r="C673" s="36" t="s">
        <v>44</v>
      </c>
    </row>
    <row r="674" spans="1:3" x14ac:dyDescent="0.25">
      <c r="A674" s="34">
        <v>42415.375</v>
      </c>
      <c r="B674" s="35">
        <v>42414</v>
      </c>
      <c r="C674" s="36" t="s">
        <v>44</v>
      </c>
    </row>
    <row r="675" spans="1:3" x14ac:dyDescent="0.25">
      <c r="A675" s="34">
        <v>42416.375</v>
      </c>
      <c r="B675" s="35">
        <v>42415</v>
      </c>
      <c r="C675" s="36" t="s">
        <v>44</v>
      </c>
    </row>
    <row r="676" spans="1:3" x14ac:dyDescent="0.25">
      <c r="A676" s="34">
        <v>42417.375</v>
      </c>
      <c r="B676" s="35">
        <v>42416</v>
      </c>
      <c r="C676" s="36" t="s">
        <v>44</v>
      </c>
    </row>
    <row r="677" spans="1:3" x14ac:dyDescent="0.25">
      <c r="A677" s="34">
        <v>42418.375</v>
      </c>
      <c r="B677" s="35">
        <v>42417</v>
      </c>
      <c r="C677" s="36" t="s">
        <v>44</v>
      </c>
    </row>
    <row r="678" spans="1:3" x14ac:dyDescent="0.25">
      <c r="A678" s="34">
        <v>42419.375</v>
      </c>
      <c r="B678" s="35">
        <v>42418</v>
      </c>
      <c r="C678" s="36" t="s">
        <v>44</v>
      </c>
    </row>
    <row r="679" spans="1:3" x14ac:dyDescent="0.25">
      <c r="A679" s="34">
        <v>42420.375</v>
      </c>
      <c r="B679" s="35">
        <v>42419</v>
      </c>
      <c r="C679" s="36" t="s">
        <v>44</v>
      </c>
    </row>
    <row r="680" spans="1:3" x14ac:dyDescent="0.25">
      <c r="A680" s="34">
        <v>42421.375</v>
      </c>
      <c r="B680" s="35">
        <v>42420</v>
      </c>
      <c r="C680" s="36" t="s">
        <v>44</v>
      </c>
    </row>
    <row r="681" spans="1:3" x14ac:dyDescent="0.25">
      <c r="A681" s="34">
        <v>42422.375</v>
      </c>
      <c r="B681" s="35">
        <v>42421</v>
      </c>
      <c r="C681" s="36" t="s">
        <v>44</v>
      </c>
    </row>
    <row r="682" spans="1:3" x14ac:dyDescent="0.25">
      <c r="A682" s="34">
        <v>42423.375</v>
      </c>
      <c r="B682" s="35">
        <v>42422</v>
      </c>
      <c r="C682" s="36" t="s">
        <v>44</v>
      </c>
    </row>
    <row r="683" spans="1:3" x14ac:dyDescent="0.25">
      <c r="A683" s="34">
        <v>42424.375</v>
      </c>
      <c r="B683" s="35">
        <v>42423</v>
      </c>
      <c r="C683" s="36" t="s">
        <v>44</v>
      </c>
    </row>
    <row r="684" spans="1:3" x14ac:dyDescent="0.25">
      <c r="A684" s="34">
        <v>42425.375</v>
      </c>
      <c r="B684" s="35">
        <v>42424</v>
      </c>
      <c r="C684" s="36" t="s">
        <v>44</v>
      </c>
    </row>
    <row r="685" spans="1:3" x14ac:dyDescent="0.25">
      <c r="A685" s="34">
        <v>42426.375</v>
      </c>
      <c r="B685" s="35">
        <v>42425</v>
      </c>
      <c r="C685" s="36" t="s">
        <v>44</v>
      </c>
    </row>
    <row r="686" spans="1:3" x14ac:dyDescent="0.25">
      <c r="A686" s="34">
        <v>42427.375</v>
      </c>
      <c r="B686" s="35">
        <v>42426</v>
      </c>
      <c r="C686" s="36" t="s">
        <v>44</v>
      </c>
    </row>
    <row r="687" spans="1:3" x14ac:dyDescent="0.25">
      <c r="A687" s="34">
        <v>42428.375</v>
      </c>
      <c r="B687" s="35">
        <v>42427</v>
      </c>
      <c r="C687" s="36" t="s">
        <v>44</v>
      </c>
    </row>
    <row r="688" spans="1:3" x14ac:dyDescent="0.25">
      <c r="A688" s="34">
        <v>42429.375</v>
      </c>
      <c r="B688" s="35">
        <v>42428</v>
      </c>
      <c r="C688" s="36" t="s">
        <v>44</v>
      </c>
    </row>
    <row r="689" spans="1:3" x14ac:dyDescent="0.25">
      <c r="A689" s="34">
        <v>42430.375</v>
      </c>
      <c r="B689" s="35">
        <v>42429</v>
      </c>
      <c r="C689" s="36" t="s">
        <v>44</v>
      </c>
    </row>
    <row r="690" spans="1:3" x14ac:dyDescent="0.25">
      <c r="A690" s="34">
        <v>42431.375</v>
      </c>
      <c r="B690" s="35">
        <v>42430</v>
      </c>
      <c r="C690" s="36" t="s">
        <v>44</v>
      </c>
    </row>
    <row r="691" spans="1:3" x14ac:dyDescent="0.25">
      <c r="A691" s="34">
        <v>42432.375</v>
      </c>
      <c r="B691" s="35">
        <v>42431</v>
      </c>
      <c r="C691" s="36" t="s">
        <v>44</v>
      </c>
    </row>
    <row r="692" spans="1:3" x14ac:dyDescent="0.25">
      <c r="A692" s="34">
        <v>42433.375</v>
      </c>
      <c r="B692" s="35">
        <v>42432</v>
      </c>
      <c r="C692" s="36" t="s">
        <v>44</v>
      </c>
    </row>
    <row r="693" spans="1:3" x14ac:dyDescent="0.25">
      <c r="A693" s="34">
        <v>42434.375</v>
      </c>
      <c r="B693" s="35">
        <v>42433</v>
      </c>
      <c r="C693" s="36" t="s">
        <v>44</v>
      </c>
    </row>
    <row r="694" spans="1:3" x14ac:dyDescent="0.25">
      <c r="A694" s="34">
        <v>42435.375</v>
      </c>
      <c r="B694" s="35">
        <v>42434</v>
      </c>
      <c r="C694" s="36" t="s">
        <v>44</v>
      </c>
    </row>
    <row r="695" spans="1:3" x14ac:dyDescent="0.25">
      <c r="A695" s="34">
        <v>42436.375</v>
      </c>
      <c r="B695" s="35">
        <v>42435</v>
      </c>
      <c r="C695" s="36" t="s">
        <v>44</v>
      </c>
    </row>
    <row r="696" spans="1:3" x14ac:dyDescent="0.25">
      <c r="A696" s="34">
        <v>42437.375</v>
      </c>
      <c r="B696" s="35">
        <v>42436</v>
      </c>
      <c r="C696" s="36" t="s">
        <v>44</v>
      </c>
    </row>
    <row r="697" spans="1:3" x14ac:dyDescent="0.25">
      <c r="A697" s="34">
        <v>42438.375</v>
      </c>
      <c r="B697" s="35">
        <v>42437</v>
      </c>
      <c r="C697" s="36" t="s">
        <v>44</v>
      </c>
    </row>
    <row r="698" spans="1:3" x14ac:dyDescent="0.25">
      <c r="A698" s="34">
        <v>42439.375</v>
      </c>
      <c r="B698" s="35">
        <v>42438</v>
      </c>
      <c r="C698" s="36" t="s">
        <v>44</v>
      </c>
    </row>
    <row r="699" spans="1:3" x14ac:dyDescent="0.25">
      <c r="A699" s="34">
        <v>42440.375</v>
      </c>
      <c r="B699" s="35">
        <v>42439</v>
      </c>
      <c r="C699" s="36" t="s">
        <v>44</v>
      </c>
    </row>
    <row r="700" spans="1:3" x14ac:dyDescent="0.25">
      <c r="A700" s="34">
        <v>42441.375</v>
      </c>
      <c r="B700" s="35">
        <v>42440</v>
      </c>
      <c r="C700" s="36" t="s">
        <v>44</v>
      </c>
    </row>
    <row r="701" spans="1:3" x14ac:dyDescent="0.25">
      <c r="A701" s="34">
        <v>42442.375</v>
      </c>
      <c r="B701" s="35">
        <v>42441</v>
      </c>
      <c r="C701" s="36" t="s">
        <v>44</v>
      </c>
    </row>
    <row r="702" spans="1:3" x14ac:dyDescent="0.25">
      <c r="A702" s="34">
        <v>42443.375</v>
      </c>
      <c r="B702" s="35">
        <v>42442</v>
      </c>
      <c r="C702" s="36" t="s">
        <v>44</v>
      </c>
    </row>
    <row r="703" spans="1:3" x14ac:dyDescent="0.25">
      <c r="A703" s="34">
        <v>42444.375</v>
      </c>
      <c r="B703" s="35">
        <v>42443</v>
      </c>
      <c r="C703" s="36" t="s">
        <v>44</v>
      </c>
    </row>
    <row r="704" spans="1:3" x14ac:dyDescent="0.25">
      <c r="A704" s="34">
        <v>42445.375</v>
      </c>
      <c r="B704" s="35">
        <v>42444</v>
      </c>
      <c r="C704" s="36" t="s">
        <v>44</v>
      </c>
    </row>
    <row r="705" spans="1:3" x14ac:dyDescent="0.25">
      <c r="A705" s="34">
        <v>42446.375</v>
      </c>
      <c r="B705" s="35">
        <v>42445</v>
      </c>
      <c r="C705" s="36" t="s">
        <v>44</v>
      </c>
    </row>
    <row r="706" spans="1:3" x14ac:dyDescent="0.25">
      <c r="A706" s="34">
        <v>42447.375</v>
      </c>
      <c r="B706" s="35">
        <v>42446</v>
      </c>
      <c r="C706" s="36" t="s">
        <v>44</v>
      </c>
    </row>
    <row r="707" spans="1:3" x14ac:dyDescent="0.25">
      <c r="A707" s="34">
        <v>42448.375</v>
      </c>
      <c r="B707" s="35">
        <v>42447</v>
      </c>
      <c r="C707" s="36" t="s">
        <v>44</v>
      </c>
    </row>
    <row r="708" spans="1:3" x14ac:dyDescent="0.25">
      <c r="A708" s="34">
        <v>42449.375</v>
      </c>
      <c r="B708" s="35">
        <v>42448</v>
      </c>
      <c r="C708" s="36" t="s">
        <v>44</v>
      </c>
    </row>
    <row r="709" spans="1:3" x14ac:dyDescent="0.25">
      <c r="A709" s="34">
        <v>42450.375</v>
      </c>
      <c r="B709" s="35">
        <v>42449</v>
      </c>
      <c r="C709" s="36" t="s">
        <v>44</v>
      </c>
    </row>
    <row r="710" spans="1:3" x14ac:dyDescent="0.25">
      <c r="A710" s="34">
        <v>42451.375</v>
      </c>
      <c r="B710" s="35">
        <v>42450</v>
      </c>
      <c r="C710" s="36" t="s">
        <v>44</v>
      </c>
    </row>
    <row r="711" spans="1:3" x14ac:dyDescent="0.25">
      <c r="A711" s="34">
        <v>42452.375</v>
      </c>
      <c r="B711" s="35">
        <v>42451</v>
      </c>
      <c r="C711" s="36" t="s">
        <v>44</v>
      </c>
    </row>
    <row r="712" spans="1:3" x14ac:dyDescent="0.25">
      <c r="A712" s="34">
        <v>42453.375</v>
      </c>
      <c r="B712" s="35">
        <v>42452</v>
      </c>
      <c r="C712" s="36" t="s">
        <v>44</v>
      </c>
    </row>
    <row r="713" spans="1:3" x14ac:dyDescent="0.25">
      <c r="A713" s="34">
        <v>42454.375</v>
      </c>
      <c r="B713" s="35">
        <v>42453</v>
      </c>
      <c r="C713" s="36" t="s">
        <v>44</v>
      </c>
    </row>
    <row r="714" spans="1:3" x14ac:dyDescent="0.25">
      <c r="A714" s="34">
        <v>42455.375</v>
      </c>
      <c r="B714" s="35">
        <v>42454</v>
      </c>
      <c r="C714" s="36" t="s">
        <v>44</v>
      </c>
    </row>
    <row r="715" spans="1:3" x14ac:dyDescent="0.25">
      <c r="A715" s="34">
        <v>42456.375</v>
      </c>
      <c r="B715" s="35">
        <v>42455</v>
      </c>
      <c r="C715" s="36" t="s">
        <v>44</v>
      </c>
    </row>
    <row r="716" spans="1:3" x14ac:dyDescent="0.25">
      <c r="A716" s="34">
        <v>42457.375</v>
      </c>
      <c r="B716" s="35">
        <v>42456</v>
      </c>
      <c r="C716" s="36" t="s">
        <v>44</v>
      </c>
    </row>
    <row r="717" spans="1:3" x14ac:dyDescent="0.25">
      <c r="A717" s="34">
        <v>42458.375</v>
      </c>
      <c r="B717" s="35">
        <v>42457</v>
      </c>
      <c r="C717" s="36" t="s">
        <v>44</v>
      </c>
    </row>
    <row r="718" spans="1:3" x14ac:dyDescent="0.25">
      <c r="A718" s="34">
        <v>42459.375</v>
      </c>
      <c r="B718" s="35">
        <v>42458</v>
      </c>
      <c r="C718" s="36" t="s">
        <v>44</v>
      </c>
    </row>
    <row r="719" spans="1:3" x14ac:dyDescent="0.25">
      <c r="A719" s="34">
        <v>42460.375</v>
      </c>
      <c r="B719" s="35">
        <v>42459</v>
      </c>
      <c r="C719" s="36" t="s">
        <v>44</v>
      </c>
    </row>
    <row r="720" spans="1:3" x14ac:dyDescent="0.25">
      <c r="A720" s="34">
        <v>42461.375</v>
      </c>
      <c r="B720" s="35">
        <v>42460</v>
      </c>
      <c r="C720" s="36" t="s">
        <v>44</v>
      </c>
    </row>
    <row r="721" spans="1:3" x14ac:dyDescent="0.25">
      <c r="A721" s="34">
        <v>42462.375</v>
      </c>
      <c r="B721" s="35">
        <v>42461</v>
      </c>
      <c r="C721" s="36" t="s">
        <v>44</v>
      </c>
    </row>
    <row r="722" spans="1:3" x14ac:dyDescent="0.25">
      <c r="A722" s="34">
        <v>42463.375</v>
      </c>
      <c r="B722" s="35">
        <v>42462</v>
      </c>
      <c r="C722" s="36" t="s">
        <v>44</v>
      </c>
    </row>
    <row r="723" spans="1:3" x14ac:dyDescent="0.25">
      <c r="A723" s="34">
        <v>42464.375</v>
      </c>
      <c r="B723" s="35">
        <v>42463</v>
      </c>
      <c r="C723" s="36" t="s">
        <v>44</v>
      </c>
    </row>
    <row r="724" spans="1:3" x14ac:dyDescent="0.25">
      <c r="A724" s="34">
        <v>42465.375</v>
      </c>
      <c r="B724" s="35">
        <v>42464</v>
      </c>
      <c r="C724" s="36" t="s">
        <v>44</v>
      </c>
    </row>
    <row r="725" spans="1:3" x14ac:dyDescent="0.25">
      <c r="A725" s="34">
        <v>42466.375</v>
      </c>
      <c r="B725" s="35">
        <v>42465</v>
      </c>
      <c r="C725" s="36" t="s">
        <v>44</v>
      </c>
    </row>
    <row r="726" spans="1:3" x14ac:dyDescent="0.25">
      <c r="A726" s="34">
        <v>42467.375</v>
      </c>
      <c r="B726" s="35">
        <v>42466</v>
      </c>
      <c r="C726" s="36" t="s">
        <v>44</v>
      </c>
    </row>
    <row r="727" spans="1:3" x14ac:dyDescent="0.25">
      <c r="A727" s="34">
        <v>42468.375</v>
      </c>
      <c r="B727" s="35">
        <v>42467</v>
      </c>
      <c r="C727" s="36" t="s">
        <v>44</v>
      </c>
    </row>
    <row r="728" spans="1:3" x14ac:dyDescent="0.25">
      <c r="A728" s="34">
        <v>42469.375</v>
      </c>
      <c r="B728" s="35">
        <v>42468</v>
      </c>
      <c r="C728" s="36" t="s">
        <v>44</v>
      </c>
    </row>
    <row r="729" spans="1:3" x14ac:dyDescent="0.25">
      <c r="A729" s="34">
        <v>42470.375</v>
      </c>
      <c r="B729" s="35">
        <v>42469</v>
      </c>
      <c r="C729" s="36" t="s">
        <v>44</v>
      </c>
    </row>
    <row r="730" spans="1:3" x14ac:dyDescent="0.25">
      <c r="A730" s="34">
        <v>42471.375</v>
      </c>
      <c r="B730" s="35">
        <v>42470</v>
      </c>
      <c r="C730" s="36" t="s">
        <v>44</v>
      </c>
    </row>
    <row r="731" spans="1:3" x14ac:dyDescent="0.25">
      <c r="A731" s="34">
        <v>42472.375</v>
      </c>
      <c r="B731" s="35">
        <v>42471</v>
      </c>
      <c r="C731" s="36" t="s">
        <v>44</v>
      </c>
    </row>
    <row r="732" spans="1:3" x14ac:dyDescent="0.25">
      <c r="A732" s="34">
        <v>42473.375</v>
      </c>
      <c r="B732" s="35">
        <v>42472</v>
      </c>
      <c r="C732" s="36" t="s">
        <v>44</v>
      </c>
    </row>
    <row r="733" spans="1:3" x14ac:dyDescent="0.25">
      <c r="A733" s="34">
        <v>42474.375</v>
      </c>
      <c r="B733" s="35">
        <v>42473</v>
      </c>
      <c r="C733" s="36" t="s">
        <v>44</v>
      </c>
    </row>
    <row r="734" spans="1:3" x14ac:dyDescent="0.25">
      <c r="A734" s="34">
        <v>42475.375</v>
      </c>
      <c r="B734" s="35">
        <v>42474</v>
      </c>
      <c r="C734" s="36" t="s">
        <v>44</v>
      </c>
    </row>
    <row r="735" spans="1:3" x14ac:dyDescent="0.25">
      <c r="A735" s="34">
        <v>42476.375</v>
      </c>
      <c r="B735" s="35">
        <v>42475</v>
      </c>
      <c r="C735" s="36" t="s">
        <v>44</v>
      </c>
    </row>
    <row r="736" spans="1:3" x14ac:dyDescent="0.25">
      <c r="A736" s="34">
        <v>42477.375</v>
      </c>
      <c r="B736" s="35">
        <v>42476</v>
      </c>
      <c r="C736" s="36" t="s">
        <v>44</v>
      </c>
    </row>
    <row r="737" spans="1:3" x14ac:dyDescent="0.25">
      <c r="A737" s="34">
        <v>42478.375</v>
      </c>
      <c r="B737" s="35">
        <v>42477</v>
      </c>
      <c r="C737" s="36" t="s">
        <v>44</v>
      </c>
    </row>
    <row r="738" spans="1:3" x14ac:dyDescent="0.25">
      <c r="A738" s="34">
        <v>42479.375</v>
      </c>
      <c r="B738" s="35">
        <v>42478</v>
      </c>
      <c r="C738" s="36" t="s">
        <v>44</v>
      </c>
    </row>
    <row r="739" spans="1:3" x14ac:dyDescent="0.25">
      <c r="A739" s="34">
        <v>42480.375</v>
      </c>
      <c r="B739" s="35">
        <v>42479</v>
      </c>
      <c r="C739" s="36" t="s">
        <v>44</v>
      </c>
    </row>
    <row r="740" spans="1:3" x14ac:dyDescent="0.25">
      <c r="A740" s="34">
        <v>42481.375</v>
      </c>
      <c r="B740" s="35">
        <v>42480</v>
      </c>
      <c r="C740" s="36" t="s">
        <v>44</v>
      </c>
    </row>
    <row r="741" spans="1:3" x14ac:dyDescent="0.25">
      <c r="A741" s="34">
        <v>42482.375</v>
      </c>
      <c r="B741" s="35">
        <v>42481</v>
      </c>
      <c r="C741" s="36" t="s">
        <v>44</v>
      </c>
    </row>
    <row r="742" spans="1:3" x14ac:dyDescent="0.25">
      <c r="A742" s="34">
        <v>42483.375</v>
      </c>
      <c r="B742" s="35">
        <v>42482</v>
      </c>
      <c r="C742" s="36" t="s">
        <v>44</v>
      </c>
    </row>
    <row r="743" spans="1:3" x14ac:dyDescent="0.25">
      <c r="A743" s="34">
        <v>42484.375</v>
      </c>
      <c r="B743" s="35">
        <v>42483</v>
      </c>
      <c r="C743" s="36" t="s">
        <v>44</v>
      </c>
    </row>
    <row r="744" spans="1:3" x14ac:dyDescent="0.25">
      <c r="A744" s="34">
        <v>42485.375</v>
      </c>
      <c r="B744" s="35">
        <v>42484</v>
      </c>
      <c r="C744" s="36" t="s">
        <v>44</v>
      </c>
    </row>
    <row r="745" spans="1:3" x14ac:dyDescent="0.25">
      <c r="A745" s="34">
        <v>42486.375</v>
      </c>
      <c r="B745" s="35">
        <v>42485</v>
      </c>
      <c r="C745" s="36" t="s">
        <v>44</v>
      </c>
    </row>
    <row r="746" spans="1:3" x14ac:dyDescent="0.25">
      <c r="A746" s="34">
        <v>42487.375</v>
      </c>
      <c r="B746" s="35">
        <v>42486</v>
      </c>
      <c r="C746" s="36" t="s">
        <v>44</v>
      </c>
    </row>
    <row r="747" spans="1:3" x14ac:dyDescent="0.25">
      <c r="A747" s="34">
        <v>42488.375</v>
      </c>
      <c r="B747" s="35">
        <v>42487</v>
      </c>
      <c r="C747" s="36" t="s">
        <v>44</v>
      </c>
    </row>
    <row r="748" spans="1:3" x14ac:dyDescent="0.25">
      <c r="A748" s="34">
        <v>42489.375</v>
      </c>
      <c r="B748" s="35">
        <v>42488</v>
      </c>
      <c r="C748" s="36" t="s">
        <v>44</v>
      </c>
    </row>
    <row r="749" spans="1:3" x14ac:dyDescent="0.25">
      <c r="A749" s="34">
        <v>42490.375</v>
      </c>
      <c r="B749" s="35">
        <v>42489</v>
      </c>
      <c r="C749" s="36" t="s">
        <v>44</v>
      </c>
    </row>
    <row r="750" spans="1:3" x14ac:dyDescent="0.25">
      <c r="A750" s="34">
        <v>42491.375</v>
      </c>
      <c r="B750" s="35">
        <v>42490</v>
      </c>
      <c r="C750" s="36" t="s">
        <v>44</v>
      </c>
    </row>
    <row r="751" spans="1:3" x14ac:dyDescent="0.25">
      <c r="A751" s="34">
        <v>42492.375</v>
      </c>
      <c r="B751" s="35">
        <v>42491</v>
      </c>
      <c r="C751" s="36" t="s">
        <v>44</v>
      </c>
    </row>
    <row r="752" spans="1:3" x14ac:dyDescent="0.25">
      <c r="A752" s="34">
        <v>42493.375</v>
      </c>
      <c r="B752" s="35">
        <v>42492</v>
      </c>
      <c r="C752" s="36" t="s">
        <v>44</v>
      </c>
    </row>
    <row r="753" spans="1:3" x14ac:dyDescent="0.25">
      <c r="A753" s="34">
        <v>42494.375</v>
      </c>
      <c r="B753" s="35">
        <v>42493</v>
      </c>
      <c r="C753" s="36" t="s">
        <v>44</v>
      </c>
    </row>
    <row r="754" spans="1:3" x14ac:dyDescent="0.25">
      <c r="A754" s="34">
        <v>42495.375</v>
      </c>
      <c r="B754" s="35">
        <v>42494</v>
      </c>
      <c r="C754" s="36" t="s">
        <v>44</v>
      </c>
    </row>
    <row r="755" spans="1:3" x14ac:dyDescent="0.25">
      <c r="A755" s="34">
        <v>42496.375</v>
      </c>
      <c r="B755" s="35">
        <v>42495</v>
      </c>
      <c r="C755" s="36" t="s">
        <v>44</v>
      </c>
    </row>
    <row r="756" spans="1:3" x14ac:dyDescent="0.25">
      <c r="A756" s="34">
        <v>42497.375</v>
      </c>
      <c r="B756" s="35">
        <v>42496</v>
      </c>
      <c r="C756" s="36" t="s">
        <v>44</v>
      </c>
    </row>
    <row r="757" spans="1:3" x14ac:dyDescent="0.25">
      <c r="A757" s="34">
        <v>42498.375</v>
      </c>
      <c r="B757" s="35">
        <v>42497</v>
      </c>
      <c r="C757" s="36" t="s">
        <v>44</v>
      </c>
    </row>
    <row r="758" spans="1:3" x14ac:dyDescent="0.25">
      <c r="A758" s="34">
        <v>42499.375</v>
      </c>
      <c r="B758" s="35">
        <v>42498</v>
      </c>
      <c r="C758" s="36" t="s">
        <v>44</v>
      </c>
    </row>
    <row r="759" spans="1:3" x14ac:dyDescent="0.25">
      <c r="A759" s="34">
        <v>42500.375</v>
      </c>
      <c r="B759" s="35">
        <v>42499</v>
      </c>
      <c r="C759" s="36" t="s">
        <v>44</v>
      </c>
    </row>
    <row r="760" spans="1:3" x14ac:dyDescent="0.25">
      <c r="A760" s="34">
        <v>42501.375</v>
      </c>
      <c r="B760" s="35">
        <v>42500</v>
      </c>
      <c r="C760" s="36" t="s">
        <v>44</v>
      </c>
    </row>
    <row r="761" spans="1:3" x14ac:dyDescent="0.25">
      <c r="A761" s="34">
        <v>42502.375</v>
      </c>
      <c r="B761" s="35">
        <v>42501</v>
      </c>
      <c r="C761" s="36" t="s">
        <v>44</v>
      </c>
    </row>
    <row r="762" spans="1:3" x14ac:dyDescent="0.25">
      <c r="A762" s="34">
        <v>42503.375</v>
      </c>
      <c r="B762" s="35">
        <v>42502</v>
      </c>
      <c r="C762" s="36" t="s">
        <v>44</v>
      </c>
    </row>
    <row r="763" spans="1:3" x14ac:dyDescent="0.25">
      <c r="A763" s="34">
        <v>42504.375</v>
      </c>
      <c r="B763" s="35">
        <v>42503</v>
      </c>
      <c r="C763" s="36" t="s">
        <v>44</v>
      </c>
    </row>
    <row r="764" spans="1:3" x14ac:dyDescent="0.25">
      <c r="A764" s="34">
        <v>42505.375</v>
      </c>
      <c r="B764" s="35">
        <v>42504</v>
      </c>
      <c r="C764" s="36" t="s">
        <v>44</v>
      </c>
    </row>
    <row r="765" spans="1:3" x14ac:dyDescent="0.25">
      <c r="A765" s="34">
        <v>42506.375</v>
      </c>
      <c r="B765" s="35">
        <v>42505</v>
      </c>
      <c r="C765" s="36" t="s">
        <v>44</v>
      </c>
    </row>
    <row r="766" spans="1:3" x14ac:dyDescent="0.25">
      <c r="A766" s="34">
        <v>42507.375</v>
      </c>
      <c r="B766" s="35">
        <v>42506</v>
      </c>
      <c r="C766" s="36" t="s">
        <v>44</v>
      </c>
    </row>
    <row r="767" spans="1:3" x14ac:dyDescent="0.25">
      <c r="A767" s="34">
        <v>42508.375</v>
      </c>
      <c r="B767" s="35">
        <v>42507</v>
      </c>
      <c r="C767" s="36" t="s">
        <v>44</v>
      </c>
    </row>
    <row r="768" spans="1:3" x14ac:dyDescent="0.25">
      <c r="A768" s="34">
        <v>42509.375</v>
      </c>
      <c r="B768" s="35">
        <v>42508</v>
      </c>
      <c r="C768" s="36" t="s">
        <v>44</v>
      </c>
    </row>
    <row r="769" spans="1:3" x14ac:dyDescent="0.25">
      <c r="A769" s="34">
        <v>42510.375</v>
      </c>
      <c r="B769" s="35">
        <v>42509</v>
      </c>
      <c r="C769" s="36" t="s">
        <v>44</v>
      </c>
    </row>
    <row r="770" spans="1:3" x14ac:dyDescent="0.25">
      <c r="A770" s="34">
        <v>42511.375</v>
      </c>
      <c r="B770" s="35">
        <v>42510</v>
      </c>
      <c r="C770" s="36" t="s">
        <v>44</v>
      </c>
    </row>
    <row r="771" spans="1:3" x14ac:dyDescent="0.25">
      <c r="A771" s="34">
        <v>42512.375</v>
      </c>
      <c r="B771" s="35">
        <v>42511</v>
      </c>
      <c r="C771" s="36" t="s">
        <v>44</v>
      </c>
    </row>
    <row r="772" spans="1:3" x14ac:dyDescent="0.25">
      <c r="A772" s="34">
        <v>42513.375</v>
      </c>
      <c r="B772" s="35">
        <v>42512</v>
      </c>
      <c r="C772" s="36" t="s">
        <v>44</v>
      </c>
    </row>
    <row r="773" spans="1:3" x14ac:dyDescent="0.25">
      <c r="A773" s="34">
        <v>42514.375</v>
      </c>
      <c r="B773" s="35">
        <v>42513</v>
      </c>
      <c r="C773" s="36" t="s">
        <v>44</v>
      </c>
    </row>
    <row r="774" spans="1:3" x14ac:dyDescent="0.25">
      <c r="A774" s="34">
        <v>42515.375</v>
      </c>
      <c r="B774" s="35">
        <v>42514</v>
      </c>
      <c r="C774" s="36" t="s">
        <v>44</v>
      </c>
    </row>
    <row r="775" spans="1:3" x14ac:dyDescent="0.25">
      <c r="A775" s="34">
        <v>42516.375</v>
      </c>
      <c r="B775" s="35">
        <v>42515</v>
      </c>
      <c r="C775" s="36" t="s">
        <v>44</v>
      </c>
    </row>
    <row r="776" spans="1:3" x14ac:dyDescent="0.25">
      <c r="A776" s="34">
        <v>42517.375</v>
      </c>
      <c r="B776" s="35">
        <v>42516</v>
      </c>
      <c r="C776" s="36" t="s">
        <v>44</v>
      </c>
    </row>
    <row r="777" spans="1:3" x14ac:dyDescent="0.25">
      <c r="A777" s="34">
        <v>42518.375</v>
      </c>
      <c r="B777" s="35">
        <v>42517</v>
      </c>
      <c r="C777" s="36" t="s">
        <v>44</v>
      </c>
    </row>
    <row r="778" spans="1:3" x14ac:dyDescent="0.25">
      <c r="A778" s="34">
        <v>42519.375</v>
      </c>
      <c r="B778" s="35">
        <v>42518</v>
      </c>
      <c r="C778" s="36" t="s">
        <v>44</v>
      </c>
    </row>
    <row r="779" spans="1:3" x14ac:dyDescent="0.25">
      <c r="A779" s="34">
        <v>42520.375</v>
      </c>
      <c r="B779" s="35">
        <v>42519</v>
      </c>
      <c r="C779" s="36" t="s">
        <v>44</v>
      </c>
    </row>
    <row r="780" spans="1:3" x14ac:dyDescent="0.25">
      <c r="A780" s="34">
        <v>42521.375</v>
      </c>
      <c r="B780" s="35">
        <v>42520</v>
      </c>
      <c r="C780" s="36" t="s">
        <v>44</v>
      </c>
    </row>
    <row r="781" spans="1:3" x14ac:dyDescent="0.25">
      <c r="A781" s="34">
        <v>42522.375</v>
      </c>
      <c r="B781" s="35">
        <v>42521</v>
      </c>
      <c r="C781" s="36">
        <v>12</v>
      </c>
    </row>
    <row r="782" spans="1:3" x14ac:dyDescent="0.25">
      <c r="A782" s="34">
        <v>42523.375</v>
      </c>
      <c r="B782" s="35">
        <v>42522</v>
      </c>
      <c r="C782" s="36">
        <v>4.5</v>
      </c>
    </row>
    <row r="783" spans="1:3" x14ac:dyDescent="0.25">
      <c r="A783" s="34">
        <v>42524.375</v>
      </c>
      <c r="B783" s="35">
        <v>42523</v>
      </c>
      <c r="C783" s="36" t="s">
        <v>15</v>
      </c>
    </row>
    <row r="784" spans="1:3" x14ac:dyDescent="0.25">
      <c r="A784" s="34">
        <v>42525.375</v>
      </c>
      <c r="B784" s="35">
        <v>42524</v>
      </c>
      <c r="C784" s="36" t="s">
        <v>15</v>
      </c>
    </row>
    <row r="785" spans="1:3" x14ac:dyDescent="0.25">
      <c r="A785" s="34">
        <v>42526.375</v>
      </c>
      <c r="B785" s="35">
        <v>42525</v>
      </c>
      <c r="C785" s="36" t="s">
        <v>15</v>
      </c>
    </row>
    <row r="786" spans="1:3" x14ac:dyDescent="0.25">
      <c r="A786" s="34">
        <v>42527.375</v>
      </c>
      <c r="B786" s="35">
        <v>42526</v>
      </c>
      <c r="C786" s="36">
        <v>10.5</v>
      </c>
    </row>
    <row r="787" spans="1:3" x14ac:dyDescent="0.25">
      <c r="A787" s="34">
        <v>42528.375</v>
      </c>
      <c r="B787" s="35">
        <v>42527</v>
      </c>
      <c r="C787" s="36">
        <v>16.5</v>
      </c>
    </row>
    <row r="788" spans="1:3" x14ac:dyDescent="0.25">
      <c r="A788" s="34">
        <v>42529.375</v>
      </c>
      <c r="B788" s="35">
        <v>42528</v>
      </c>
      <c r="C788" s="36">
        <v>20.5</v>
      </c>
    </row>
    <row r="789" spans="1:3" x14ac:dyDescent="0.25">
      <c r="A789" s="34">
        <v>42530.375</v>
      </c>
      <c r="B789" s="35">
        <v>42529</v>
      </c>
      <c r="C789" s="36">
        <v>13.6</v>
      </c>
    </row>
    <row r="790" spans="1:3" x14ac:dyDescent="0.25">
      <c r="A790" s="34">
        <v>42531.375</v>
      </c>
      <c r="B790" s="35">
        <v>42530</v>
      </c>
      <c r="C790" s="36">
        <v>10</v>
      </c>
    </row>
    <row r="791" spans="1:3" x14ac:dyDescent="0.25">
      <c r="A791" s="34">
        <v>42532.375</v>
      </c>
      <c r="B791" s="35">
        <v>42531</v>
      </c>
      <c r="C791" s="36">
        <v>16.5</v>
      </c>
    </row>
    <row r="792" spans="1:3" x14ac:dyDescent="0.25">
      <c r="A792" s="34">
        <v>42533.375</v>
      </c>
      <c r="B792" s="35">
        <v>42532</v>
      </c>
      <c r="C792" s="36">
        <v>10</v>
      </c>
    </row>
    <row r="793" spans="1:3" x14ac:dyDescent="0.25">
      <c r="A793" s="34">
        <v>42534.375</v>
      </c>
      <c r="B793" s="35">
        <v>42533</v>
      </c>
      <c r="C793" s="36" t="s">
        <v>15</v>
      </c>
    </row>
    <row r="794" spans="1:3" x14ac:dyDescent="0.25">
      <c r="A794" s="34">
        <v>42535.375</v>
      </c>
      <c r="B794" s="35">
        <v>42534</v>
      </c>
      <c r="C794" s="36">
        <v>16.399999999999999</v>
      </c>
    </row>
    <row r="795" spans="1:3" x14ac:dyDescent="0.25">
      <c r="A795" s="34">
        <v>42536.375</v>
      </c>
      <c r="B795" s="35">
        <v>42535</v>
      </c>
      <c r="C795" s="36">
        <v>20.5</v>
      </c>
    </row>
    <row r="796" spans="1:3" x14ac:dyDescent="0.25">
      <c r="A796" s="34">
        <v>42537.375</v>
      </c>
      <c r="B796" s="35">
        <v>42536</v>
      </c>
      <c r="C796" s="36" t="s">
        <v>15</v>
      </c>
    </row>
    <row r="797" spans="1:3" x14ac:dyDescent="0.25">
      <c r="A797" s="34">
        <v>42538.375</v>
      </c>
      <c r="B797" s="35">
        <v>42537</v>
      </c>
      <c r="C797" s="36">
        <v>0</v>
      </c>
    </row>
    <row r="798" spans="1:3" x14ac:dyDescent="0.25">
      <c r="A798" s="34">
        <v>42539.375</v>
      </c>
      <c r="B798" s="35">
        <v>42538</v>
      </c>
      <c r="C798" s="36" t="s">
        <v>15</v>
      </c>
    </row>
    <row r="799" spans="1:3" x14ac:dyDescent="0.25">
      <c r="A799" s="34">
        <v>42540.375</v>
      </c>
      <c r="B799" s="35">
        <v>42539</v>
      </c>
      <c r="C799" s="36">
        <v>25</v>
      </c>
    </row>
    <row r="800" spans="1:3" x14ac:dyDescent="0.25">
      <c r="A800" s="34">
        <v>42541.375</v>
      </c>
      <c r="B800" s="35">
        <v>42540</v>
      </c>
      <c r="C800" s="36">
        <v>18.5</v>
      </c>
    </row>
    <row r="801" spans="1:3" x14ac:dyDescent="0.25">
      <c r="A801" s="34">
        <v>42542.375</v>
      </c>
      <c r="B801" s="35">
        <v>42541</v>
      </c>
      <c r="C801" s="36">
        <v>10</v>
      </c>
    </row>
    <row r="802" spans="1:3" x14ac:dyDescent="0.25">
      <c r="A802" s="34">
        <v>42543.375</v>
      </c>
      <c r="B802" s="35">
        <v>42542</v>
      </c>
      <c r="C802" s="36" t="s">
        <v>15</v>
      </c>
    </row>
    <row r="803" spans="1:3" x14ac:dyDescent="0.25">
      <c r="A803" s="34">
        <v>42544.375</v>
      </c>
      <c r="B803" s="35">
        <v>42543</v>
      </c>
      <c r="C803" s="36" t="s">
        <v>15</v>
      </c>
    </row>
    <row r="804" spans="1:3" x14ac:dyDescent="0.25">
      <c r="A804" s="34">
        <v>42545.375</v>
      </c>
      <c r="B804" s="35">
        <v>42544</v>
      </c>
      <c r="C804" s="36">
        <v>0</v>
      </c>
    </row>
    <row r="805" spans="1:3" x14ac:dyDescent="0.25">
      <c r="A805" s="34">
        <v>42546.375</v>
      </c>
      <c r="B805" s="35">
        <v>42545</v>
      </c>
      <c r="C805" s="36">
        <v>20.5</v>
      </c>
    </row>
    <row r="806" spans="1:3" x14ac:dyDescent="0.25">
      <c r="A806" s="34">
        <v>42547.375</v>
      </c>
      <c r="B806" s="35">
        <v>42546</v>
      </c>
      <c r="C806" s="36">
        <v>16.399999999999999</v>
      </c>
    </row>
    <row r="807" spans="1:3" x14ac:dyDescent="0.25">
      <c r="A807" s="34">
        <v>42548.375</v>
      </c>
      <c r="B807" s="35">
        <v>42547</v>
      </c>
      <c r="C807" s="36">
        <v>18.600000000000001</v>
      </c>
    </row>
    <row r="808" spans="1:3" x14ac:dyDescent="0.25">
      <c r="A808" s="34">
        <v>42549.375</v>
      </c>
      <c r="B808" s="35">
        <v>42548</v>
      </c>
      <c r="C808" s="36">
        <v>25</v>
      </c>
    </row>
    <row r="809" spans="1:3" x14ac:dyDescent="0.25">
      <c r="A809" s="34">
        <v>42550.375</v>
      </c>
      <c r="B809" s="35">
        <v>42549</v>
      </c>
      <c r="C809" s="36">
        <v>10.199999999999999</v>
      </c>
    </row>
    <row r="810" spans="1:3" x14ac:dyDescent="0.25">
      <c r="A810" s="34">
        <v>42551.375</v>
      </c>
      <c r="B810" s="35">
        <v>42550</v>
      </c>
      <c r="C810" s="36">
        <v>13.5</v>
      </c>
    </row>
    <row r="811" spans="1:3" x14ac:dyDescent="0.25">
      <c r="A811" s="34">
        <v>42552.375</v>
      </c>
      <c r="B811" s="35">
        <v>42551</v>
      </c>
      <c r="C811" s="36">
        <v>10.6</v>
      </c>
    </row>
    <row r="812" spans="1:3" x14ac:dyDescent="0.25">
      <c r="A812" s="34">
        <v>42553.375</v>
      </c>
      <c r="B812" s="35">
        <v>42552</v>
      </c>
      <c r="C812" s="36">
        <v>6</v>
      </c>
    </row>
    <row r="813" spans="1:3" x14ac:dyDescent="0.25">
      <c r="A813" s="34">
        <v>42554.375</v>
      </c>
      <c r="B813" s="35">
        <v>42553</v>
      </c>
      <c r="C813" s="36">
        <v>16.2</v>
      </c>
    </row>
    <row r="814" spans="1:3" x14ac:dyDescent="0.25">
      <c r="A814" s="34">
        <v>42555.375</v>
      </c>
      <c r="B814" s="35">
        <v>42554</v>
      </c>
      <c r="C814" s="36">
        <v>5</v>
      </c>
    </row>
    <row r="815" spans="1:3" x14ac:dyDescent="0.25">
      <c r="A815" s="34">
        <v>42556.375</v>
      </c>
      <c r="B815" s="35">
        <v>42555</v>
      </c>
      <c r="C815" s="36" t="s">
        <v>15</v>
      </c>
    </row>
    <row r="816" spans="1:3" x14ac:dyDescent="0.25">
      <c r="A816" s="34">
        <v>42557.375</v>
      </c>
      <c r="B816" s="35">
        <v>42556</v>
      </c>
      <c r="C816" s="36">
        <v>0</v>
      </c>
    </row>
    <row r="817" spans="1:3" x14ac:dyDescent="0.25">
      <c r="A817" s="34">
        <v>42558.375</v>
      </c>
      <c r="B817" s="35">
        <v>42557</v>
      </c>
      <c r="C817" s="36" t="s">
        <v>15</v>
      </c>
    </row>
    <row r="818" spans="1:3" x14ac:dyDescent="0.25">
      <c r="A818" s="34">
        <v>42559.375</v>
      </c>
      <c r="B818" s="35">
        <v>42558</v>
      </c>
      <c r="C818" s="36">
        <v>10.4</v>
      </c>
    </row>
    <row r="819" spans="1:3" x14ac:dyDescent="0.25">
      <c r="A819" s="34">
        <v>42560.375</v>
      </c>
      <c r="B819" s="35">
        <v>42559</v>
      </c>
      <c r="C819" s="36">
        <v>20.6</v>
      </c>
    </row>
    <row r="820" spans="1:3" x14ac:dyDescent="0.25">
      <c r="A820" s="34">
        <v>42561.375</v>
      </c>
      <c r="B820" s="35">
        <v>42560</v>
      </c>
      <c r="C820" s="36">
        <v>11.5</v>
      </c>
    </row>
    <row r="821" spans="1:3" x14ac:dyDescent="0.25">
      <c r="A821" s="34">
        <v>42562.375</v>
      </c>
      <c r="B821" s="35">
        <v>42561</v>
      </c>
      <c r="C821" s="36">
        <v>16.3</v>
      </c>
    </row>
    <row r="822" spans="1:3" x14ac:dyDescent="0.25">
      <c r="A822" s="34">
        <v>42563.375</v>
      </c>
      <c r="B822" s="35">
        <v>42562</v>
      </c>
      <c r="C822" s="36">
        <v>3.6</v>
      </c>
    </row>
    <row r="823" spans="1:3" x14ac:dyDescent="0.25">
      <c r="A823" s="34">
        <v>42564.375</v>
      </c>
      <c r="B823" s="35">
        <v>42563</v>
      </c>
      <c r="C823" s="36" t="s">
        <v>15</v>
      </c>
    </row>
    <row r="824" spans="1:3" x14ac:dyDescent="0.25">
      <c r="A824" s="34">
        <v>42565.375</v>
      </c>
      <c r="B824" s="35">
        <v>42564</v>
      </c>
      <c r="C824" s="36">
        <v>0</v>
      </c>
    </row>
    <row r="825" spans="1:3" x14ac:dyDescent="0.25">
      <c r="A825" s="34">
        <v>42566.375</v>
      </c>
      <c r="B825" s="35">
        <v>42565</v>
      </c>
      <c r="C825" s="36">
        <v>12.4</v>
      </c>
    </row>
    <row r="826" spans="1:3" x14ac:dyDescent="0.25">
      <c r="A826" s="34">
        <v>42567.375</v>
      </c>
      <c r="B826" s="35">
        <v>42566</v>
      </c>
      <c r="C826" s="36" t="s">
        <v>15</v>
      </c>
    </row>
    <row r="827" spans="1:3" x14ac:dyDescent="0.25">
      <c r="A827" s="34">
        <v>42568.375</v>
      </c>
      <c r="B827" s="35">
        <v>42567</v>
      </c>
      <c r="C827" s="36" t="s">
        <v>15</v>
      </c>
    </row>
    <row r="828" spans="1:3" x14ac:dyDescent="0.25">
      <c r="A828" s="34">
        <v>42569.375</v>
      </c>
      <c r="B828" s="35">
        <v>42568</v>
      </c>
      <c r="C828" s="36">
        <v>0</v>
      </c>
    </row>
    <row r="829" spans="1:3" x14ac:dyDescent="0.25">
      <c r="A829" s="34">
        <v>42570.375</v>
      </c>
      <c r="B829" s="35">
        <v>42569</v>
      </c>
      <c r="C829" s="36">
        <v>17.600000000000001</v>
      </c>
    </row>
    <row r="830" spans="1:3" x14ac:dyDescent="0.25">
      <c r="A830" s="34">
        <v>42571.375</v>
      </c>
      <c r="B830" s="35">
        <v>42570</v>
      </c>
      <c r="C830" s="36">
        <v>21.4</v>
      </c>
    </row>
    <row r="831" spans="1:3" x14ac:dyDescent="0.25">
      <c r="A831" s="34">
        <v>42572.375</v>
      </c>
      <c r="B831" s="35">
        <v>42571</v>
      </c>
      <c r="C831" s="36">
        <v>10.5</v>
      </c>
    </row>
    <row r="832" spans="1:3" x14ac:dyDescent="0.25">
      <c r="A832" s="34">
        <v>42573.375</v>
      </c>
      <c r="B832" s="35">
        <v>42572</v>
      </c>
      <c r="C832" s="36">
        <v>6</v>
      </c>
    </row>
    <row r="833" spans="1:3" x14ac:dyDescent="0.25">
      <c r="A833" s="34">
        <v>42574.375</v>
      </c>
      <c r="B833" s="35">
        <v>42573</v>
      </c>
      <c r="C833" s="36" t="s">
        <v>15</v>
      </c>
    </row>
    <row r="834" spans="1:3" x14ac:dyDescent="0.25">
      <c r="A834" s="34">
        <v>42575.375</v>
      </c>
      <c r="B834" s="35">
        <v>42574</v>
      </c>
      <c r="C834" s="36">
        <v>16.2</v>
      </c>
    </row>
    <row r="835" spans="1:3" x14ac:dyDescent="0.25">
      <c r="A835" s="34">
        <v>42576.375</v>
      </c>
      <c r="B835" s="35">
        <v>42575</v>
      </c>
      <c r="C835" s="36">
        <v>21.4</v>
      </c>
    </row>
    <row r="836" spans="1:3" x14ac:dyDescent="0.25">
      <c r="A836" s="34">
        <v>42577.375</v>
      </c>
      <c r="B836" s="35">
        <v>42576</v>
      </c>
      <c r="C836" s="36" t="s">
        <v>15</v>
      </c>
    </row>
    <row r="837" spans="1:3" x14ac:dyDescent="0.25">
      <c r="A837" s="34">
        <v>42578.375</v>
      </c>
      <c r="B837" s="35">
        <v>42577</v>
      </c>
      <c r="C837" s="36">
        <v>0</v>
      </c>
    </row>
    <row r="838" spans="1:3" x14ac:dyDescent="0.25">
      <c r="A838" s="34">
        <v>42579.375</v>
      </c>
      <c r="B838" s="35">
        <v>42578</v>
      </c>
      <c r="C838" s="36" t="s">
        <v>15</v>
      </c>
    </row>
    <row r="839" spans="1:3" x14ac:dyDescent="0.25">
      <c r="A839" s="34">
        <v>42580.375</v>
      </c>
      <c r="B839" s="35">
        <v>42579</v>
      </c>
      <c r="C839" s="36">
        <v>10.5</v>
      </c>
    </row>
    <row r="840" spans="1:3" x14ac:dyDescent="0.25">
      <c r="A840" s="34">
        <v>42581.375</v>
      </c>
      <c r="B840" s="35">
        <v>42580</v>
      </c>
      <c r="C840" s="36">
        <v>17.600000000000001</v>
      </c>
    </row>
    <row r="841" spans="1:3" x14ac:dyDescent="0.25">
      <c r="A841" s="34">
        <v>42582.375</v>
      </c>
      <c r="B841" s="35">
        <v>42581</v>
      </c>
      <c r="C841" s="36">
        <v>24.3</v>
      </c>
    </row>
    <row r="842" spans="1:3" x14ac:dyDescent="0.25">
      <c r="A842" s="34">
        <v>42583.375</v>
      </c>
      <c r="B842" s="35">
        <v>42582</v>
      </c>
      <c r="C842" s="36">
        <v>20.399999999999999</v>
      </c>
    </row>
    <row r="843" spans="1:3" x14ac:dyDescent="0.25">
      <c r="A843" s="34">
        <v>42584.375</v>
      </c>
      <c r="B843" s="35">
        <v>42583</v>
      </c>
      <c r="C843" s="36">
        <v>2.6</v>
      </c>
    </row>
    <row r="844" spans="1:3" x14ac:dyDescent="0.25">
      <c r="A844" s="34">
        <v>42585.375</v>
      </c>
      <c r="B844" s="35">
        <v>42584</v>
      </c>
      <c r="C844" s="36">
        <v>7.5</v>
      </c>
    </row>
    <row r="845" spans="1:3" x14ac:dyDescent="0.25">
      <c r="A845" s="34">
        <v>42586.375</v>
      </c>
      <c r="B845" s="35">
        <v>42585</v>
      </c>
      <c r="C845" s="36">
        <v>18</v>
      </c>
    </row>
    <row r="846" spans="1:3" x14ac:dyDescent="0.25">
      <c r="A846" s="34">
        <v>42587.375</v>
      </c>
      <c r="B846" s="35">
        <v>42586</v>
      </c>
      <c r="C846" s="36">
        <v>20</v>
      </c>
    </row>
    <row r="847" spans="1:3" x14ac:dyDescent="0.25">
      <c r="A847" s="34">
        <v>42588.375</v>
      </c>
      <c r="B847" s="35">
        <v>42587</v>
      </c>
      <c r="C847" s="36">
        <v>17.399999999999999</v>
      </c>
    </row>
    <row r="848" spans="1:3" x14ac:dyDescent="0.25">
      <c r="A848" s="34">
        <v>42589.375</v>
      </c>
      <c r="B848" s="35">
        <v>42588</v>
      </c>
      <c r="C848" s="36">
        <v>6.5</v>
      </c>
    </row>
    <row r="849" spans="1:3" x14ac:dyDescent="0.25">
      <c r="A849" s="34">
        <v>42590.375</v>
      </c>
      <c r="B849" s="35">
        <v>42589</v>
      </c>
      <c r="C849" s="36">
        <v>20</v>
      </c>
    </row>
    <row r="850" spans="1:3" x14ac:dyDescent="0.25">
      <c r="A850" s="34">
        <v>42591.375</v>
      </c>
      <c r="B850" s="35">
        <v>42590</v>
      </c>
      <c r="C850" s="36">
        <v>6.4</v>
      </c>
    </row>
    <row r="851" spans="1:3" x14ac:dyDescent="0.25">
      <c r="A851" s="34">
        <v>42592.375</v>
      </c>
      <c r="B851" s="35">
        <v>42591</v>
      </c>
      <c r="C851" s="36">
        <v>10.4</v>
      </c>
    </row>
    <row r="852" spans="1:3" x14ac:dyDescent="0.25">
      <c r="A852" s="34">
        <v>42593.375</v>
      </c>
      <c r="B852" s="35">
        <v>42592</v>
      </c>
      <c r="C852" s="36">
        <v>20.100000000000001</v>
      </c>
    </row>
    <row r="853" spans="1:3" x14ac:dyDescent="0.25">
      <c r="A853" s="34">
        <v>42594.375</v>
      </c>
      <c r="B853" s="35">
        <v>42593</v>
      </c>
      <c r="C853" s="36">
        <v>16.399999999999999</v>
      </c>
    </row>
    <row r="854" spans="1:3" x14ac:dyDescent="0.25">
      <c r="A854" s="34">
        <v>42595.375</v>
      </c>
      <c r="B854" s="35">
        <v>42594</v>
      </c>
      <c r="C854" s="36">
        <v>11.2</v>
      </c>
    </row>
    <row r="855" spans="1:3" x14ac:dyDescent="0.25">
      <c r="A855" s="34">
        <v>42596.375</v>
      </c>
      <c r="B855" s="35">
        <v>42595</v>
      </c>
      <c r="C855" s="36" t="s">
        <v>15</v>
      </c>
    </row>
    <row r="856" spans="1:3" x14ac:dyDescent="0.25">
      <c r="A856" s="34">
        <v>42597.375</v>
      </c>
      <c r="B856" s="35">
        <v>42596</v>
      </c>
      <c r="C856" s="36" t="s">
        <v>15</v>
      </c>
    </row>
    <row r="857" spans="1:3" x14ac:dyDescent="0.25">
      <c r="A857" s="34">
        <v>42598.375</v>
      </c>
      <c r="B857" s="35">
        <v>42597</v>
      </c>
      <c r="C857" s="36">
        <v>6.1</v>
      </c>
    </row>
    <row r="858" spans="1:3" x14ac:dyDescent="0.25">
      <c r="A858" s="34">
        <v>42599.375</v>
      </c>
      <c r="B858" s="35">
        <v>42598</v>
      </c>
      <c r="C858" s="36">
        <v>0</v>
      </c>
    </row>
    <row r="859" spans="1:3" x14ac:dyDescent="0.25">
      <c r="A859" s="34">
        <v>42600.375</v>
      </c>
      <c r="B859" s="35">
        <v>42599</v>
      </c>
      <c r="C859" s="36">
        <v>0</v>
      </c>
    </row>
    <row r="860" spans="1:3" x14ac:dyDescent="0.25">
      <c r="A860" s="34">
        <v>42601.375</v>
      </c>
      <c r="B860" s="35">
        <v>42600</v>
      </c>
      <c r="C860" s="36">
        <v>0</v>
      </c>
    </row>
    <row r="861" spans="1:3" x14ac:dyDescent="0.25">
      <c r="A861" s="34">
        <v>42602.375</v>
      </c>
      <c r="B861" s="35">
        <v>42601</v>
      </c>
      <c r="C861" s="36">
        <v>0</v>
      </c>
    </row>
    <row r="862" spans="1:3" x14ac:dyDescent="0.25">
      <c r="A862" s="34">
        <v>42603.375</v>
      </c>
      <c r="B862" s="35">
        <v>42602</v>
      </c>
      <c r="C862" s="36">
        <v>0</v>
      </c>
    </row>
    <row r="863" spans="1:3" x14ac:dyDescent="0.25">
      <c r="A863" s="34">
        <v>42604.375</v>
      </c>
      <c r="B863" s="35">
        <v>42603</v>
      </c>
      <c r="C863" s="36">
        <v>0</v>
      </c>
    </row>
    <row r="864" spans="1:3" x14ac:dyDescent="0.25">
      <c r="A864" s="34">
        <v>42605.375</v>
      </c>
      <c r="B864" s="35">
        <v>42604</v>
      </c>
      <c r="C864" s="36">
        <v>0</v>
      </c>
    </row>
    <row r="865" spans="1:3" x14ac:dyDescent="0.25">
      <c r="A865" s="34">
        <v>42606.375</v>
      </c>
      <c r="B865" s="35">
        <v>42605</v>
      </c>
      <c r="C865" s="36" t="s">
        <v>15</v>
      </c>
    </row>
    <row r="866" spans="1:3" x14ac:dyDescent="0.25">
      <c r="A866" s="34">
        <v>42607.375</v>
      </c>
      <c r="B866" s="35">
        <v>42606</v>
      </c>
      <c r="C866" s="36" t="s">
        <v>15</v>
      </c>
    </row>
    <row r="867" spans="1:3" x14ac:dyDescent="0.25">
      <c r="A867" s="34">
        <v>42608.375</v>
      </c>
      <c r="B867" s="35">
        <v>42607</v>
      </c>
      <c r="C867" s="36">
        <v>10.199999999999999</v>
      </c>
    </row>
    <row r="868" spans="1:3" x14ac:dyDescent="0.25">
      <c r="A868" s="34">
        <v>42609.375</v>
      </c>
      <c r="B868" s="35">
        <v>42608</v>
      </c>
      <c r="C868" s="36">
        <v>11</v>
      </c>
    </row>
    <row r="869" spans="1:3" x14ac:dyDescent="0.25">
      <c r="A869" s="34">
        <v>42610.375</v>
      </c>
      <c r="B869" s="35">
        <v>42609</v>
      </c>
      <c r="C869" s="36" t="s">
        <v>15</v>
      </c>
    </row>
    <row r="870" spans="1:3" x14ac:dyDescent="0.25">
      <c r="A870" s="34">
        <v>42611.375</v>
      </c>
      <c r="B870" s="35">
        <v>42610</v>
      </c>
      <c r="C870" s="36" t="s">
        <v>15</v>
      </c>
    </row>
    <row r="871" spans="1:3" x14ac:dyDescent="0.25">
      <c r="A871" s="34">
        <v>42612.375</v>
      </c>
      <c r="B871" s="35">
        <v>42611</v>
      </c>
      <c r="C871" s="36">
        <v>6.7</v>
      </c>
    </row>
    <row r="872" spans="1:3" x14ac:dyDescent="0.25">
      <c r="A872" s="34">
        <v>42613.375</v>
      </c>
      <c r="B872" s="35">
        <v>42612</v>
      </c>
      <c r="C872" s="36">
        <v>10.199999999999999</v>
      </c>
    </row>
    <row r="873" spans="1:3" x14ac:dyDescent="0.25">
      <c r="A873" s="34">
        <v>42614.375</v>
      </c>
      <c r="B873" s="35">
        <v>42613</v>
      </c>
      <c r="C873" s="36">
        <v>26</v>
      </c>
    </row>
    <row r="874" spans="1:3" x14ac:dyDescent="0.25">
      <c r="A874" s="34">
        <v>42615.375</v>
      </c>
      <c r="B874" s="35">
        <v>42614</v>
      </c>
      <c r="C874" s="36">
        <v>10.4</v>
      </c>
    </row>
    <row r="875" spans="1:3" x14ac:dyDescent="0.25">
      <c r="A875" s="34">
        <v>42616.375</v>
      </c>
      <c r="B875" s="35">
        <v>42615</v>
      </c>
      <c r="C875" s="36">
        <v>7</v>
      </c>
    </row>
    <row r="876" spans="1:3" x14ac:dyDescent="0.25">
      <c r="A876" s="34">
        <v>42617.375</v>
      </c>
      <c r="B876" s="35">
        <v>42616</v>
      </c>
      <c r="C876" s="36">
        <v>10.6</v>
      </c>
    </row>
    <row r="877" spans="1:3" x14ac:dyDescent="0.25">
      <c r="A877" s="34">
        <v>42618.375</v>
      </c>
      <c r="B877" s="35">
        <v>42617</v>
      </c>
      <c r="C877" s="36" t="s">
        <v>15</v>
      </c>
    </row>
    <row r="878" spans="1:3" x14ac:dyDescent="0.25">
      <c r="A878" s="34">
        <v>42619.375</v>
      </c>
      <c r="B878" s="35">
        <v>42618</v>
      </c>
      <c r="C878" s="36">
        <v>0</v>
      </c>
    </row>
    <row r="879" spans="1:3" x14ac:dyDescent="0.25">
      <c r="A879" s="34">
        <v>42620.375</v>
      </c>
      <c r="B879" s="35">
        <v>42619</v>
      </c>
      <c r="C879" s="36">
        <v>0</v>
      </c>
    </row>
    <row r="880" spans="1:3" x14ac:dyDescent="0.25">
      <c r="A880" s="34">
        <v>42621.375</v>
      </c>
      <c r="B880" s="35">
        <v>42620</v>
      </c>
      <c r="C880" s="36">
        <v>16.2</v>
      </c>
    </row>
    <row r="881" spans="1:3" x14ac:dyDescent="0.25">
      <c r="A881" s="34">
        <v>42622.375</v>
      </c>
      <c r="B881" s="35">
        <v>42621</v>
      </c>
      <c r="C881" s="36">
        <v>11.4</v>
      </c>
    </row>
    <row r="882" spans="1:3" x14ac:dyDescent="0.25">
      <c r="A882" s="34">
        <v>42623.375</v>
      </c>
      <c r="B882" s="35">
        <v>42622</v>
      </c>
      <c r="C882" s="36" t="s">
        <v>15</v>
      </c>
    </row>
    <row r="883" spans="1:3" x14ac:dyDescent="0.25">
      <c r="A883" s="34">
        <v>42624.375</v>
      </c>
      <c r="B883" s="35">
        <v>42623</v>
      </c>
      <c r="C883" s="36" t="s">
        <v>15</v>
      </c>
    </row>
    <row r="884" spans="1:3" x14ac:dyDescent="0.25">
      <c r="A884" s="34">
        <v>42625.375</v>
      </c>
      <c r="B884" s="35">
        <v>42624</v>
      </c>
      <c r="C884" s="36">
        <v>24.3</v>
      </c>
    </row>
    <row r="885" spans="1:3" x14ac:dyDescent="0.25">
      <c r="A885" s="34">
        <v>42626.375</v>
      </c>
      <c r="B885" s="35">
        <v>42625</v>
      </c>
      <c r="C885" s="36">
        <v>10.6</v>
      </c>
    </row>
    <row r="886" spans="1:3" x14ac:dyDescent="0.25">
      <c r="A886" s="34">
        <v>42627.375</v>
      </c>
      <c r="B886" s="35">
        <v>42626</v>
      </c>
      <c r="C886" s="36">
        <v>4.3</v>
      </c>
    </row>
    <row r="887" spans="1:3" x14ac:dyDescent="0.25">
      <c r="A887" s="34">
        <v>42628.375</v>
      </c>
      <c r="B887" s="35">
        <v>42627</v>
      </c>
      <c r="C887" s="36">
        <v>26</v>
      </c>
    </row>
    <row r="888" spans="1:3" x14ac:dyDescent="0.25">
      <c r="A888" s="34">
        <v>42629.375</v>
      </c>
      <c r="B888" s="35">
        <v>42628</v>
      </c>
      <c r="C888" s="36">
        <v>12.1</v>
      </c>
    </row>
    <row r="889" spans="1:3" x14ac:dyDescent="0.25">
      <c r="A889" s="34">
        <v>42630.375</v>
      </c>
      <c r="B889" s="35">
        <v>42629</v>
      </c>
      <c r="C889" s="36">
        <v>8.1999999999999993</v>
      </c>
    </row>
    <row r="890" spans="1:3" x14ac:dyDescent="0.25">
      <c r="A890" s="34">
        <v>42631.375</v>
      </c>
      <c r="B890" s="35">
        <v>42630</v>
      </c>
      <c r="C890" s="36" t="s">
        <v>15</v>
      </c>
    </row>
    <row r="891" spans="1:3" x14ac:dyDescent="0.25">
      <c r="A891" s="34">
        <v>42632.375</v>
      </c>
      <c r="B891" s="35">
        <v>42631</v>
      </c>
      <c r="C891" s="36">
        <v>0</v>
      </c>
    </row>
    <row r="892" spans="1:3" x14ac:dyDescent="0.25">
      <c r="A892" s="34">
        <v>42633.375</v>
      </c>
      <c r="B892" s="35">
        <v>42632</v>
      </c>
      <c r="C892" s="36">
        <v>26</v>
      </c>
    </row>
    <row r="893" spans="1:3" x14ac:dyDescent="0.25">
      <c r="A893" s="34">
        <v>42634.375</v>
      </c>
      <c r="B893" s="35">
        <v>42633</v>
      </c>
      <c r="C893" s="36">
        <v>23.4</v>
      </c>
    </row>
    <row r="894" spans="1:3" x14ac:dyDescent="0.25">
      <c r="A894" s="34">
        <v>42635.375</v>
      </c>
      <c r="B894" s="35">
        <v>42634</v>
      </c>
      <c r="C894" s="36">
        <v>11.6</v>
      </c>
    </row>
    <row r="895" spans="1:3" x14ac:dyDescent="0.25">
      <c r="A895" s="34">
        <v>42636.375</v>
      </c>
      <c r="B895" s="35">
        <v>42635</v>
      </c>
      <c r="C895" s="36">
        <v>22.4</v>
      </c>
    </row>
    <row r="896" spans="1:3" x14ac:dyDescent="0.25">
      <c r="A896" s="34">
        <v>42637.375</v>
      </c>
      <c r="B896" s="35">
        <v>42636</v>
      </c>
      <c r="C896" s="36">
        <v>10</v>
      </c>
    </row>
    <row r="897" spans="1:3" x14ac:dyDescent="0.25">
      <c r="A897" s="34">
        <v>42638.375</v>
      </c>
      <c r="B897" s="35">
        <v>42637</v>
      </c>
      <c r="C897" s="36">
        <v>11.3</v>
      </c>
    </row>
    <row r="898" spans="1:3" x14ac:dyDescent="0.25">
      <c r="A898" s="34">
        <v>42639.375</v>
      </c>
      <c r="B898" s="35">
        <v>42638</v>
      </c>
      <c r="C898" s="36" t="s">
        <v>15</v>
      </c>
    </row>
    <row r="899" spans="1:3" x14ac:dyDescent="0.25">
      <c r="A899" s="34">
        <v>42640.375</v>
      </c>
      <c r="B899" s="35">
        <v>42639</v>
      </c>
      <c r="C899" s="36" t="s">
        <v>15</v>
      </c>
    </row>
    <row r="900" spans="1:3" x14ac:dyDescent="0.25">
      <c r="A900" s="34">
        <v>42641.375</v>
      </c>
      <c r="B900" s="35">
        <v>42640</v>
      </c>
      <c r="C900" s="36">
        <v>14.5</v>
      </c>
    </row>
    <row r="901" spans="1:3" x14ac:dyDescent="0.25">
      <c r="A901" s="34">
        <v>42642.375</v>
      </c>
      <c r="B901" s="35">
        <v>42641</v>
      </c>
      <c r="C901" s="36">
        <v>20</v>
      </c>
    </row>
    <row r="902" spans="1:3" x14ac:dyDescent="0.25">
      <c r="A902" s="34">
        <v>42643.375</v>
      </c>
      <c r="B902" s="35">
        <v>42642</v>
      </c>
      <c r="C902" s="36">
        <v>13.6</v>
      </c>
    </row>
  </sheetData>
  <hyperlinks>
    <hyperlink ref="B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04"/>
  <sheetViews>
    <sheetView workbookViewId="0"/>
  </sheetViews>
  <sheetFormatPr defaultColWidth="9.109375" defaultRowHeight="12" x14ac:dyDescent="0.25"/>
  <cols>
    <col min="1" max="1" width="19.88671875" style="2" customWidth="1"/>
    <col min="2" max="2" width="12.6640625" style="2" customWidth="1"/>
    <col min="3" max="3" width="12" style="2" customWidth="1"/>
    <col min="4" max="4" width="8.33203125" style="2" customWidth="1"/>
    <col min="5" max="5" width="3.6640625" style="3" customWidth="1"/>
    <col min="6" max="6" width="9.109375" style="2"/>
    <col min="7" max="7" width="11.33203125" style="2" customWidth="1"/>
    <col min="8" max="8" width="11.44140625" style="2" customWidth="1"/>
    <col min="9" max="9" width="6.44140625" style="2" customWidth="1"/>
    <col min="10" max="10" width="9.109375" style="2"/>
    <col min="11" max="11" width="3.109375" style="2" bestFit="1" customWidth="1"/>
    <col min="12" max="12" width="4.33203125" style="2" customWidth="1"/>
    <col min="13" max="14" width="9.109375" style="2"/>
    <col min="15" max="15" width="3.109375" style="2" bestFit="1" customWidth="1"/>
    <col min="16" max="16" width="13.109375" style="2" customWidth="1"/>
    <col min="17" max="16384" width="9.109375" style="2"/>
  </cols>
  <sheetData>
    <row r="1" spans="1:8" x14ac:dyDescent="0.25">
      <c r="A1" s="27" t="s">
        <v>20</v>
      </c>
      <c r="B1" s="31" t="str">
        <f>+'Rainfall Data'!B1</f>
        <v>SN25</v>
      </c>
      <c r="E1" s="21"/>
    </row>
    <row r="2" spans="1:8" x14ac:dyDescent="0.25">
      <c r="A2" s="27" t="s">
        <v>21</v>
      </c>
      <c r="B2" s="31" t="str">
        <f>+'Rainfall Data'!B2</f>
        <v>Fadugu Agricultural College</v>
      </c>
      <c r="E2" s="21"/>
    </row>
    <row r="3" spans="1:8" x14ac:dyDescent="0.25">
      <c r="A3" s="27" t="s">
        <v>36</v>
      </c>
      <c r="B3" s="39">
        <f>+'Rainfall Data'!B3</f>
        <v>9.4029000000000007</v>
      </c>
      <c r="C3" s="27"/>
      <c r="E3" s="21"/>
    </row>
    <row r="4" spans="1:8" x14ac:dyDescent="0.25">
      <c r="A4" s="27" t="s">
        <v>37</v>
      </c>
      <c r="B4" s="27">
        <f>+'Rainfall Data'!B4</f>
        <v>-11.77276</v>
      </c>
      <c r="C4" s="27"/>
      <c r="E4" s="21"/>
    </row>
    <row r="5" spans="1:8" x14ac:dyDescent="0.25">
      <c r="A5" s="27" t="s">
        <v>38</v>
      </c>
      <c r="B5" s="27">
        <f>+'Rainfall Data'!B5</f>
        <v>302</v>
      </c>
      <c r="C5" s="27" t="str">
        <f>+'Rainfall Data'!C5</f>
        <v>m above sea level</v>
      </c>
      <c r="E5" s="21"/>
    </row>
    <row r="6" spans="1:8" x14ac:dyDescent="0.25">
      <c r="A6" s="27" t="s">
        <v>22</v>
      </c>
      <c r="B6" s="31" t="str">
        <f>+'Rainfall Data'!B6</f>
        <v>Rainfall Data</v>
      </c>
      <c r="E6" s="21"/>
    </row>
    <row r="7" spans="1:8" x14ac:dyDescent="0.25">
      <c r="A7" s="27" t="s">
        <v>40</v>
      </c>
      <c r="B7" s="24" t="str">
        <f>+'Rainfall Data'!B7</f>
        <v>Community (School)</v>
      </c>
      <c r="E7" s="21"/>
    </row>
    <row r="8" spans="1:8" x14ac:dyDescent="0.25">
      <c r="A8" s="27" t="s">
        <v>23</v>
      </c>
      <c r="B8" s="24" t="str">
        <f>+'Rainfall Data'!B8</f>
        <v>Sierra Leone Ministry of Water Resources, Water Supply Division</v>
      </c>
      <c r="E8" s="21"/>
    </row>
    <row r="9" spans="1:8" x14ac:dyDescent="0.25">
      <c r="A9" s="27" t="s">
        <v>25</v>
      </c>
      <c r="B9" s="24" t="str">
        <f>+'Rainfall Data'!B9</f>
        <v>Sierra Leone Ministry of Water Resources</v>
      </c>
      <c r="E9" s="21"/>
    </row>
    <row r="10" spans="1:8" x14ac:dyDescent="0.25">
      <c r="A10" s="27" t="s">
        <v>27</v>
      </c>
      <c r="B10" s="24" t="str">
        <f>+'Rainfall Data'!B10</f>
        <v>Water Security Project, 2012 to 2015</v>
      </c>
      <c r="E10" s="21"/>
    </row>
    <row r="11" spans="1:8" x14ac:dyDescent="0.25">
      <c r="A11" s="27" t="s">
        <v>29</v>
      </c>
      <c r="B11" s="24" t="str">
        <f>+'Rainfall Data'!B11</f>
        <v>www.salonewatersecurity.com</v>
      </c>
      <c r="E11" s="21"/>
    </row>
    <row r="12" spans="1:8" x14ac:dyDescent="0.25">
      <c r="A12" s="27" t="s">
        <v>31</v>
      </c>
      <c r="B12" s="30">
        <f>+MIN(A:A)</f>
        <v>41759</v>
      </c>
      <c r="E12" s="21"/>
    </row>
    <row r="13" spans="1:8" x14ac:dyDescent="0.25">
      <c r="A13" s="27" t="s">
        <v>32</v>
      </c>
      <c r="B13" s="30">
        <f>+MAX(A:A)</f>
        <v>42642</v>
      </c>
      <c r="E13" s="21"/>
    </row>
    <row r="14" spans="1:8" x14ac:dyDescent="0.25">
      <c r="A14" s="27" t="s">
        <v>33</v>
      </c>
      <c r="B14" s="27">
        <f>+COUNT(A:A)</f>
        <v>884</v>
      </c>
      <c r="E14" s="21"/>
    </row>
    <row r="15" spans="1:8" x14ac:dyDescent="0.25">
      <c r="A15" s="27" t="s">
        <v>34</v>
      </c>
      <c r="B15" s="24" t="str">
        <f>+'Rainfall Data'!B15</f>
        <v>nd = no data; T = Trace (&lt;0.5mm)</v>
      </c>
      <c r="E15" s="21"/>
    </row>
    <row r="16" spans="1:8" x14ac:dyDescent="0.25">
      <c r="A16" s="7"/>
      <c r="B16" s="7"/>
      <c r="C16" s="7"/>
      <c r="D16" s="7"/>
      <c r="E16" s="7"/>
      <c r="F16" s="7"/>
      <c r="G16" s="7"/>
      <c r="H16" s="7"/>
    </row>
    <row r="17" spans="1:16" ht="14.4" x14ac:dyDescent="0.3">
      <c r="A17" s="20" t="s">
        <v>5</v>
      </c>
      <c r="B17" s="23"/>
      <c r="C17" s="13"/>
      <c r="D17" s="13"/>
      <c r="E17" s="13"/>
      <c r="F17" s="20" t="s">
        <v>6</v>
      </c>
      <c r="G17" s="14"/>
      <c r="H17" s="14"/>
      <c r="I17" s="14"/>
      <c r="J17" s="13"/>
      <c r="K17" s="13"/>
      <c r="L17" s="13"/>
      <c r="M17" s="17" t="s">
        <v>7</v>
      </c>
      <c r="N17" s="13"/>
      <c r="O17" s="13"/>
      <c r="P17" s="13"/>
    </row>
    <row r="18" spans="1:16" ht="65.400000000000006" x14ac:dyDescent="0.25">
      <c r="A18" s="22" t="s">
        <v>3</v>
      </c>
      <c r="B18" s="18" t="s">
        <v>12</v>
      </c>
      <c r="C18" s="22" t="s">
        <v>8</v>
      </c>
      <c r="D18" s="15" t="s">
        <v>16</v>
      </c>
      <c r="E18" s="18"/>
      <c r="F18" s="16" t="s">
        <v>0</v>
      </c>
      <c r="G18" s="19" t="s">
        <v>13</v>
      </c>
      <c r="H18" s="22" t="s">
        <v>9</v>
      </c>
      <c r="I18" s="15" t="s">
        <v>1</v>
      </c>
      <c r="J18" s="15" t="s">
        <v>16</v>
      </c>
      <c r="K18" s="15" t="s">
        <v>42</v>
      </c>
      <c r="L18" s="15"/>
      <c r="M18" s="18" t="s">
        <v>1</v>
      </c>
      <c r="N18" s="19" t="s">
        <v>14</v>
      </c>
      <c r="O18" s="15" t="s">
        <v>42</v>
      </c>
      <c r="P18" s="16" t="s">
        <v>10</v>
      </c>
    </row>
    <row r="19" spans="1:16" ht="14.4" x14ac:dyDescent="0.3">
      <c r="A19" s="13"/>
      <c r="B19" s="21" t="s">
        <v>4</v>
      </c>
      <c r="C19" s="21" t="s">
        <v>4</v>
      </c>
      <c r="D19" s="21"/>
      <c r="E19" s="21"/>
      <c r="F19" s="13"/>
      <c r="G19" s="19" t="s">
        <v>4</v>
      </c>
      <c r="H19" s="22" t="s">
        <v>4</v>
      </c>
      <c r="I19" s="22"/>
      <c r="J19" s="21"/>
      <c r="K19" s="21"/>
      <c r="L19" s="19"/>
      <c r="M19" s="21"/>
      <c r="N19" s="21" t="s">
        <v>4</v>
      </c>
      <c r="O19" s="21"/>
      <c r="P19" s="13"/>
    </row>
    <row r="20" spans="1:16" x14ac:dyDescent="0.25">
      <c r="A20" s="8">
        <f>+'Rainfall Data'!B19</f>
        <v>41759</v>
      </c>
      <c r="B20" s="4">
        <f>+'Rainfall Data'!C19</f>
        <v>0</v>
      </c>
      <c r="C20" s="11">
        <f>IF(B20="nd",0, IF(B20="T",0,B20))</f>
        <v>0</v>
      </c>
      <c r="D20" s="25">
        <f>+YEAR(A20)*1000+MONTH(A20)</f>
        <v>2014004</v>
      </c>
      <c r="E20" s="2"/>
      <c r="F20" s="10">
        <v>41640</v>
      </c>
      <c r="G20" s="4"/>
      <c r="H20" s="9"/>
      <c r="I20" s="25">
        <f>+YEAR(F20)</f>
        <v>2014</v>
      </c>
      <c r="J20" s="25">
        <f>+YEAR(F20)*1000+MONTH(F20)</f>
        <v>2014001</v>
      </c>
      <c r="K20" s="25"/>
      <c r="M20" s="21">
        <v>2014</v>
      </c>
      <c r="N20" s="21">
        <f>SUMIF($I$20:$I$111,M20,$G$20:$G$111)</f>
        <v>1732.1</v>
      </c>
      <c r="O20" s="21" t="s">
        <v>43</v>
      </c>
      <c r="P20" s="2" t="s">
        <v>17</v>
      </c>
    </row>
    <row r="21" spans="1:16" x14ac:dyDescent="0.25">
      <c r="A21" s="12">
        <f>+'Rainfall Data'!B20</f>
        <v>41760</v>
      </c>
      <c r="B21" s="11">
        <f>+'Rainfall Data'!C20</f>
        <v>0</v>
      </c>
      <c r="C21" s="11">
        <f t="shared" ref="C21:C46" si="0">IF(B21="nd",0, IF(B21="T",0,B21))+C20</f>
        <v>0</v>
      </c>
      <c r="D21" s="25">
        <f t="shared" ref="D21:D77" si="1">+YEAR(A21)*1000+MONTH(A21)</f>
        <v>2014005</v>
      </c>
      <c r="E21" s="2"/>
      <c r="F21" s="10">
        <v>41671</v>
      </c>
      <c r="G21" s="4"/>
      <c r="H21" s="9"/>
      <c r="I21" s="25">
        <f t="shared" ref="I21:I25" si="2">+YEAR(F21)</f>
        <v>2014</v>
      </c>
      <c r="J21" s="25">
        <f t="shared" ref="J21:J25" si="3">+YEAR(F21)*1000+MONTH(F21)</f>
        <v>2014002</v>
      </c>
      <c r="K21" s="25"/>
      <c r="M21" s="21">
        <v>2015</v>
      </c>
      <c r="N21" s="21">
        <f>SUMIF($I$20:$I$111,M21,$G$20:$G$111)</f>
        <v>1884.0000000000002</v>
      </c>
      <c r="O21" s="21" t="s">
        <v>43</v>
      </c>
      <c r="P21" s="2" t="s">
        <v>45</v>
      </c>
    </row>
    <row r="22" spans="1:16" x14ac:dyDescent="0.25">
      <c r="A22" s="12">
        <f>+'Rainfall Data'!B21</f>
        <v>41761</v>
      </c>
      <c r="B22" s="11">
        <f>+'Rainfall Data'!C21</f>
        <v>0</v>
      </c>
      <c r="C22" s="11">
        <f t="shared" si="0"/>
        <v>0</v>
      </c>
      <c r="D22" s="25">
        <f t="shared" si="1"/>
        <v>2014005</v>
      </c>
      <c r="E22" s="2"/>
      <c r="F22" s="10">
        <v>41699</v>
      </c>
      <c r="G22" s="4"/>
      <c r="H22" s="9"/>
      <c r="I22" s="25">
        <f t="shared" si="2"/>
        <v>2014</v>
      </c>
      <c r="J22" s="25">
        <f t="shared" si="3"/>
        <v>2014003</v>
      </c>
      <c r="K22" s="25"/>
      <c r="M22" s="21">
        <v>2016</v>
      </c>
      <c r="N22" s="21">
        <f>SUMIF($I$20:$I$111,M22,$G$20:$G$111)</f>
        <v>1121.3999999999999</v>
      </c>
      <c r="O22" s="21" t="s">
        <v>43</v>
      </c>
      <c r="P22" s="2" t="s">
        <v>46</v>
      </c>
    </row>
    <row r="23" spans="1:16" x14ac:dyDescent="0.25">
      <c r="A23" s="12">
        <f>+'Rainfall Data'!B22</f>
        <v>41762</v>
      </c>
      <c r="B23" s="11">
        <f>+'Rainfall Data'!C22</f>
        <v>0</v>
      </c>
      <c r="C23" s="11">
        <f t="shared" si="0"/>
        <v>0</v>
      </c>
      <c r="D23" s="25">
        <f t="shared" si="1"/>
        <v>2014005</v>
      </c>
      <c r="E23" s="2"/>
      <c r="F23" s="10">
        <v>41730</v>
      </c>
      <c r="G23" s="26"/>
      <c r="H23" s="26"/>
      <c r="I23" s="25">
        <f t="shared" si="2"/>
        <v>2014</v>
      </c>
      <c r="J23" s="25">
        <f t="shared" si="3"/>
        <v>2014004</v>
      </c>
      <c r="K23" s="25"/>
      <c r="M23" s="21"/>
      <c r="N23" s="21"/>
      <c r="O23" s="21"/>
    </row>
    <row r="24" spans="1:16" x14ac:dyDescent="0.25">
      <c r="A24" s="12">
        <f>+'Rainfall Data'!B23</f>
        <v>41763</v>
      </c>
      <c r="B24" s="11">
        <f>+'Rainfall Data'!C23</f>
        <v>0</v>
      </c>
      <c r="C24" s="11">
        <f t="shared" si="0"/>
        <v>0</v>
      </c>
      <c r="D24" s="25">
        <f t="shared" si="1"/>
        <v>2014005</v>
      </c>
      <c r="E24" s="2"/>
      <c r="F24" s="10">
        <v>41760</v>
      </c>
      <c r="G24" s="26">
        <f>SUMIF($D$20:$D$10011,J24,$B$20:$B$10011)</f>
        <v>123.6</v>
      </c>
      <c r="H24" s="26">
        <f t="shared" ref="H24" si="4">IF(G24="nd",0, IF(G24="T",0,G24))+H23</f>
        <v>123.6</v>
      </c>
      <c r="I24" s="25">
        <f t="shared" si="2"/>
        <v>2014</v>
      </c>
      <c r="J24" s="25">
        <f t="shared" si="3"/>
        <v>2014005</v>
      </c>
      <c r="K24" s="25"/>
      <c r="M24" s="21"/>
      <c r="N24" s="21"/>
      <c r="O24" s="21"/>
    </row>
    <row r="25" spans="1:16" x14ac:dyDescent="0.25">
      <c r="A25" s="12">
        <f>+'Rainfall Data'!B24</f>
        <v>41764</v>
      </c>
      <c r="B25" s="11">
        <f>+'Rainfall Data'!C24</f>
        <v>0</v>
      </c>
      <c r="C25" s="11">
        <f t="shared" si="0"/>
        <v>0</v>
      </c>
      <c r="D25" s="25">
        <f t="shared" si="1"/>
        <v>2014005</v>
      </c>
      <c r="E25" s="2"/>
      <c r="F25" s="10">
        <v>41791</v>
      </c>
      <c r="G25" s="26">
        <f>SUMIF($D$20:$D$10011,J25,$B$20:$B$10011)</f>
        <v>303</v>
      </c>
      <c r="H25" s="26">
        <f t="shared" ref="H25" si="5">IF(G25="nd",0, IF(G25="T",0,G25))+H24</f>
        <v>426.6</v>
      </c>
      <c r="I25" s="25">
        <f t="shared" si="2"/>
        <v>2014</v>
      </c>
      <c r="J25" s="25">
        <f t="shared" si="3"/>
        <v>2014006</v>
      </c>
      <c r="K25" s="25"/>
      <c r="M25" s="21"/>
      <c r="N25" s="21"/>
      <c r="O25" s="21"/>
    </row>
    <row r="26" spans="1:16" x14ac:dyDescent="0.25">
      <c r="A26" s="12">
        <f>+'Rainfall Data'!B25</f>
        <v>41765</v>
      </c>
      <c r="B26" s="11">
        <f>+'Rainfall Data'!C25</f>
        <v>0</v>
      </c>
      <c r="C26" s="11">
        <f t="shared" si="0"/>
        <v>0</v>
      </c>
      <c r="D26" s="25">
        <f t="shared" si="1"/>
        <v>2014005</v>
      </c>
      <c r="E26" s="2"/>
      <c r="F26" s="10">
        <v>41821</v>
      </c>
      <c r="G26" s="26">
        <f t="shared" ref="G26:G29" si="6">SUMIF($D$20:$D$10011,J26,$B$20:$B$10011)</f>
        <v>305</v>
      </c>
      <c r="H26" s="26">
        <f t="shared" ref="H26:H30" si="7">IF(G26="nd",0, IF(G26="T",0,G26))+H25</f>
        <v>731.6</v>
      </c>
      <c r="I26" s="25">
        <f t="shared" ref="I26:I30" si="8">+YEAR(F26)</f>
        <v>2014</v>
      </c>
      <c r="J26" s="25">
        <f t="shared" ref="J26:J30" si="9">+YEAR(F26)*1000+MONTH(F26)</f>
        <v>2014007</v>
      </c>
      <c r="K26" s="25"/>
      <c r="M26" s="21"/>
      <c r="N26" s="21"/>
      <c r="O26" s="21"/>
    </row>
    <row r="27" spans="1:16" x14ac:dyDescent="0.25">
      <c r="A27" s="12">
        <f>+'Rainfall Data'!B26</f>
        <v>41766</v>
      </c>
      <c r="B27" s="11">
        <f>+'Rainfall Data'!C26</f>
        <v>0</v>
      </c>
      <c r="C27" s="11">
        <f t="shared" si="0"/>
        <v>0</v>
      </c>
      <c r="D27" s="25">
        <f t="shared" si="1"/>
        <v>2014005</v>
      </c>
      <c r="E27" s="2"/>
      <c r="F27" s="10">
        <v>41852</v>
      </c>
      <c r="G27" s="26">
        <f t="shared" si="6"/>
        <v>411.5</v>
      </c>
      <c r="H27" s="26">
        <f t="shared" si="7"/>
        <v>1143.0999999999999</v>
      </c>
      <c r="I27" s="25">
        <f t="shared" si="8"/>
        <v>2014</v>
      </c>
      <c r="J27" s="25">
        <f t="shared" si="9"/>
        <v>2014008</v>
      </c>
      <c r="K27" s="25"/>
      <c r="M27" s="21"/>
      <c r="N27" s="21"/>
      <c r="O27" s="21"/>
    </row>
    <row r="28" spans="1:16" x14ac:dyDescent="0.25">
      <c r="A28" s="12">
        <f>+'Rainfall Data'!B27</f>
        <v>41767</v>
      </c>
      <c r="B28" s="11">
        <f>+'Rainfall Data'!C27</f>
        <v>0</v>
      </c>
      <c r="C28" s="11">
        <f t="shared" si="0"/>
        <v>0</v>
      </c>
      <c r="D28" s="25">
        <f t="shared" si="1"/>
        <v>2014005</v>
      </c>
      <c r="E28" s="2"/>
      <c r="F28" s="10">
        <v>41883</v>
      </c>
      <c r="G28" s="26">
        <f t="shared" si="6"/>
        <v>298</v>
      </c>
      <c r="H28" s="26">
        <f t="shared" si="7"/>
        <v>1441.1</v>
      </c>
      <c r="I28" s="25">
        <f t="shared" si="8"/>
        <v>2014</v>
      </c>
      <c r="J28" s="25">
        <f t="shared" si="9"/>
        <v>2014009</v>
      </c>
      <c r="K28" s="25"/>
    </row>
    <row r="29" spans="1:16" x14ac:dyDescent="0.25">
      <c r="A29" s="12">
        <f>+'Rainfall Data'!B28</f>
        <v>41768</v>
      </c>
      <c r="B29" s="11">
        <f>+'Rainfall Data'!C28</f>
        <v>0</v>
      </c>
      <c r="C29" s="11">
        <f t="shared" si="0"/>
        <v>0</v>
      </c>
      <c r="D29" s="25">
        <f t="shared" si="1"/>
        <v>2014005</v>
      </c>
      <c r="E29" s="2"/>
      <c r="F29" s="10">
        <v>41913</v>
      </c>
      <c r="G29" s="26">
        <f t="shared" si="6"/>
        <v>217</v>
      </c>
      <c r="H29" s="26">
        <f t="shared" si="7"/>
        <v>1658.1</v>
      </c>
      <c r="I29" s="25">
        <f t="shared" si="8"/>
        <v>2014</v>
      </c>
      <c r="J29" s="25">
        <f t="shared" si="9"/>
        <v>2014010</v>
      </c>
      <c r="K29" s="25"/>
    </row>
    <row r="30" spans="1:16" x14ac:dyDescent="0.25">
      <c r="A30" s="12">
        <f>+'Rainfall Data'!B29</f>
        <v>41769</v>
      </c>
      <c r="B30" s="11">
        <f>+'Rainfall Data'!C29</f>
        <v>0</v>
      </c>
      <c r="C30" s="11">
        <f t="shared" si="0"/>
        <v>0</v>
      </c>
      <c r="D30" s="25">
        <f t="shared" si="1"/>
        <v>2014005</v>
      </c>
      <c r="E30" s="2"/>
      <c r="F30" s="10">
        <v>41944</v>
      </c>
      <c r="G30" s="26">
        <f>SUMIF($D$20:$D$10011,J30,$B$20:$B$10011)</f>
        <v>74</v>
      </c>
      <c r="H30" s="26">
        <f t="shared" si="7"/>
        <v>1732.1</v>
      </c>
      <c r="I30" s="25">
        <f t="shared" si="8"/>
        <v>2014</v>
      </c>
      <c r="J30" s="25">
        <f t="shared" si="9"/>
        <v>2014011</v>
      </c>
      <c r="K30" s="25"/>
    </row>
    <row r="31" spans="1:16" x14ac:dyDescent="0.25">
      <c r="A31" s="12">
        <f>+'Rainfall Data'!B30</f>
        <v>41770</v>
      </c>
      <c r="B31" s="11">
        <f>+'Rainfall Data'!C30</f>
        <v>0</v>
      </c>
      <c r="C31" s="11">
        <f t="shared" si="0"/>
        <v>0</v>
      </c>
      <c r="D31" s="25">
        <f t="shared" si="1"/>
        <v>2014005</v>
      </c>
      <c r="E31" s="2"/>
      <c r="F31" s="10">
        <v>41974</v>
      </c>
      <c r="G31" s="26">
        <f t="shared" ref="G31:G34" si="10">SUMIF($D$20:$D$10011,J31,$B$20:$B$10011)</f>
        <v>0</v>
      </c>
      <c r="H31" s="26">
        <f t="shared" ref="H31:H34" si="11">IF(G31="nd",0, IF(G31="T",0,G31))+H30</f>
        <v>1732.1</v>
      </c>
      <c r="I31" s="25">
        <f t="shared" ref="I31:I34" si="12">+YEAR(F31)</f>
        <v>2014</v>
      </c>
      <c r="J31" s="25">
        <f t="shared" ref="J31:J34" si="13">+YEAR(F31)*1000+MONTH(F31)</f>
        <v>2014012</v>
      </c>
      <c r="K31" s="25"/>
    </row>
    <row r="32" spans="1:16" x14ac:dyDescent="0.25">
      <c r="A32" s="12">
        <f>+'Rainfall Data'!B31</f>
        <v>41771</v>
      </c>
      <c r="B32" s="11">
        <f>+'Rainfall Data'!C31</f>
        <v>0</v>
      </c>
      <c r="C32" s="11">
        <f t="shared" si="0"/>
        <v>0</v>
      </c>
      <c r="D32" s="25">
        <f t="shared" si="1"/>
        <v>2014005</v>
      </c>
      <c r="F32" s="10">
        <v>42005</v>
      </c>
      <c r="G32" s="26">
        <f t="shared" si="10"/>
        <v>0</v>
      </c>
      <c r="H32" s="26">
        <f>IF(G32="nd",0, IF(G32="T",0,G32))</f>
        <v>0</v>
      </c>
      <c r="I32" s="25">
        <f t="shared" si="12"/>
        <v>2015</v>
      </c>
      <c r="J32" s="25">
        <f t="shared" si="13"/>
        <v>2015001</v>
      </c>
    </row>
    <row r="33" spans="1:11" x14ac:dyDescent="0.25">
      <c r="A33" s="12">
        <f>+'Rainfall Data'!B32</f>
        <v>41772</v>
      </c>
      <c r="B33" s="11">
        <f>+'Rainfall Data'!C32</f>
        <v>0</v>
      </c>
      <c r="C33" s="11">
        <f t="shared" si="0"/>
        <v>0</v>
      </c>
      <c r="D33" s="25">
        <f t="shared" si="1"/>
        <v>2014005</v>
      </c>
      <c r="F33" s="10">
        <v>42036</v>
      </c>
      <c r="G33" s="26">
        <f t="shared" si="10"/>
        <v>0</v>
      </c>
      <c r="H33" s="26">
        <f t="shared" si="11"/>
        <v>0</v>
      </c>
      <c r="I33" s="25">
        <f t="shared" si="12"/>
        <v>2015</v>
      </c>
      <c r="J33" s="25">
        <f t="shared" si="13"/>
        <v>2015002</v>
      </c>
    </row>
    <row r="34" spans="1:11" x14ac:dyDescent="0.25">
      <c r="A34" s="12">
        <f>+'Rainfall Data'!B33</f>
        <v>41773</v>
      </c>
      <c r="B34" s="11">
        <f>+'Rainfall Data'!C33</f>
        <v>0</v>
      </c>
      <c r="C34" s="11">
        <f t="shared" si="0"/>
        <v>0</v>
      </c>
      <c r="D34" s="25">
        <f t="shared" si="1"/>
        <v>2014005</v>
      </c>
      <c r="F34" s="10">
        <v>42064</v>
      </c>
      <c r="G34" s="26">
        <f t="shared" si="10"/>
        <v>8.5</v>
      </c>
      <c r="H34" s="26">
        <f t="shared" si="11"/>
        <v>8.5</v>
      </c>
      <c r="I34" s="25">
        <f t="shared" si="12"/>
        <v>2015</v>
      </c>
      <c r="J34" s="25">
        <f t="shared" si="13"/>
        <v>2015003</v>
      </c>
    </row>
    <row r="35" spans="1:11" x14ac:dyDescent="0.25">
      <c r="A35" s="12">
        <f>+'Rainfall Data'!B34</f>
        <v>41774</v>
      </c>
      <c r="B35" s="11">
        <f>+'Rainfall Data'!C34</f>
        <v>0</v>
      </c>
      <c r="C35" s="11">
        <f t="shared" si="0"/>
        <v>0</v>
      </c>
      <c r="D35" s="25">
        <f t="shared" si="1"/>
        <v>2014005</v>
      </c>
      <c r="F35" s="10">
        <v>42095</v>
      </c>
      <c r="G35" s="26">
        <f t="shared" ref="G35:G37" si="14">SUMIF($D$20:$D$10011,J35,$B$20:$B$10011)</f>
        <v>33.9</v>
      </c>
      <c r="H35" s="26">
        <f t="shared" ref="H35:H37" si="15">IF(G35="nd",0, IF(G35="T",0,G35))+H34</f>
        <v>42.4</v>
      </c>
      <c r="I35" s="25">
        <f t="shared" ref="I35:I37" si="16">+YEAR(F35)</f>
        <v>2015</v>
      </c>
      <c r="J35" s="25">
        <f t="shared" ref="J35:J37" si="17">+YEAR(F35)*1000+MONTH(F35)</f>
        <v>2015004</v>
      </c>
    </row>
    <row r="36" spans="1:11" x14ac:dyDescent="0.25">
      <c r="A36" s="12">
        <f>+'Rainfall Data'!B35</f>
        <v>41775</v>
      </c>
      <c r="B36" s="11">
        <f>+'Rainfall Data'!C35</f>
        <v>25</v>
      </c>
      <c r="C36" s="11">
        <f t="shared" si="0"/>
        <v>25</v>
      </c>
      <c r="D36" s="25">
        <f t="shared" si="1"/>
        <v>2014005</v>
      </c>
      <c r="F36" s="10">
        <v>42125</v>
      </c>
      <c r="G36" s="26">
        <f t="shared" si="14"/>
        <v>234.7</v>
      </c>
      <c r="H36" s="26">
        <f t="shared" si="15"/>
        <v>277.09999999999997</v>
      </c>
      <c r="I36" s="25">
        <f t="shared" si="16"/>
        <v>2015</v>
      </c>
      <c r="J36" s="25">
        <f t="shared" si="17"/>
        <v>2015005</v>
      </c>
    </row>
    <row r="37" spans="1:11" x14ac:dyDescent="0.25">
      <c r="A37" s="12">
        <f>+'Rainfall Data'!B36</f>
        <v>41776</v>
      </c>
      <c r="B37" s="11">
        <f>+'Rainfall Data'!C36</f>
        <v>31.5</v>
      </c>
      <c r="C37" s="11">
        <f t="shared" si="0"/>
        <v>56.5</v>
      </c>
      <c r="D37" s="25">
        <f t="shared" si="1"/>
        <v>2014005</v>
      </c>
      <c r="F37" s="10">
        <v>42156</v>
      </c>
      <c r="G37" s="26">
        <f t="shared" si="14"/>
        <v>305.89999999999998</v>
      </c>
      <c r="H37" s="26">
        <f t="shared" si="15"/>
        <v>583</v>
      </c>
      <c r="I37" s="25">
        <f t="shared" si="16"/>
        <v>2015</v>
      </c>
      <c r="J37" s="25">
        <f t="shared" si="17"/>
        <v>2015006</v>
      </c>
    </row>
    <row r="38" spans="1:11" x14ac:dyDescent="0.25">
      <c r="A38" s="12">
        <f>+'Rainfall Data'!B37</f>
        <v>41777</v>
      </c>
      <c r="B38" s="11">
        <f>+'Rainfall Data'!C37</f>
        <v>0</v>
      </c>
      <c r="C38" s="11">
        <f t="shared" si="0"/>
        <v>56.5</v>
      </c>
      <c r="D38" s="25">
        <f t="shared" si="1"/>
        <v>2014005</v>
      </c>
      <c r="F38" s="10">
        <v>42186</v>
      </c>
      <c r="G38" s="26">
        <f t="shared" ref="G38:G40" si="18">SUMIF($D$20:$D$10011,J38,$B$20:$B$10011)</f>
        <v>4.5</v>
      </c>
      <c r="H38" s="26">
        <f t="shared" ref="H38:H40" si="19">IF(G38="nd",0, IF(G38="T",0,G38))+H37</f>
        <v>587.5</v>
      </c>
      <c r="I38" s="25">
        <f t="shared" ref="I38:I40" si="20">+YEAR(F38)</f>
        <v>2015</v>
      </c>
      <c r="J38" s="25">
        <f t="shared" ref="J38:J40" si="21">+YEAR(F38)*1000+MONTH(F38)</f>
        <v>2015007</v>
      </c>
      <c r="K38" s="2" t="s">
        <v>43</v>
      </c>
    </row>
    <row r="39" spans="1:11" x14ac:dyDescent="0.25">
      <c r="A39" s="12">
        <f>+'Rainfall Data'!B38</f>
        <v>41778</v>
      </c>
      <c r="B39" s="11">
        <f>+'Rainfall Data'!C38</f>
        <v>0</v>
      </c>
      <c r="C39" s="11">
        <f t="shared" si="0"/>
        <v>56.5</v>
      </c>
      <c r="D39" s="25">
        <f t="shared" si="1"/>
        <v>2014005</v>
      </c>
      <c r="F39" s="10">
        <v>42217</v>
      </c>
      <c r="G39" s="26">
        <f t="shared" si="18"/>
        <v>372.90000000000003</v>
      </c>
      <c r="H39" s="26">
        <f t="shared" si="19"/>
        <v>960.40000000000009</v>
      </c>
      <c r="I39" s="25">
        <f t="shared" si="20"/>
        <v>2015</v>
      </c>
      <c r="J39" s="25">
        <f t="shared" si="21"/>
        <v>2015008</v>
      </c>
    </row>
    <row r="40" spans="1:11" x14ac:dyDescent="0.25">
      <c r="A40" s="12">
        <f>+'Rainfall Data'!B39</f>
        <v>41779</v>
      </c>
      <c r="B40" s="11">
        <f>+'Rainfall Data'!C39</f>
        <v>12</v>
      </c>
      <c r="C40" s="11">
        <f t="shared" si="0"/>
        <v>68.5</v>
      </c>
      <c r="D40" s="25">
        <f t="shared" si="1"/>
        <v>2014005</v>
      </c>
      <c r="F40" s="10">
        <v>42248</v>
      </c>
      <c r="G40" s="26">
        <f t="shared" si="18"/>
        <v>382.80000000000007</v>
      </c>
      <c r="H40" s="26">
        <f t="shared" si="19"/>
        <v>1343.2000000000003</v>
      </c>
      <c r="I40" s="25">
        <f t="shared" si="20"/>
        <v>2015</v>
      </c>
      <c r="J40" s="25">
        <f t="shared" si="21"/>
        <v>2015009</v>
      </c>
    </row>
    <row r="41" spans="1:11" x14ac:dyDescent="0.25">
      <c r="A41" s="12">
        <f>+'Rainfall Data'!B40</f>
        <v>41780</v>
      </c>
      <c r="B41" s="11">
        <f>+'Rainfall Data'!C40</f>
        <v>0</v>
      </c>
      <c r="C41" s="11">
        <f t="shared" si="0"/>
        <v>68.5</v>
      </c>
      <c r="D41" s="25">
        <f t="shared" si="1"/>
        <v>2014005</v>
      </c>
      <c r="F41" s="10">
        <v>42278</v>
      </c>
      <c r="G41" s="26">
        <f t="shared" ref="G41:G42" si="22">SUMIF($D$20:$D$10011,J41,$B$20:$B$10011)</f>
        <v>397.39999999999992</v>
      </c>
      <c r="H41" s="26">
        <f t="shared" ref="H41:H42" si="23">IF(G41="nd",0, IF(G41="T",0,G41))+H40</f>
        <v>1740.6000000000001</v>
      </c>
      <c r="I41" s="25">
        <f t="shared" ref="I41:I42" si="24">+YEAR(F41)</f>
        <v>2015</v>
      </c>
      <c r="J41" s="25">
        <f t="shared" ref="J41:J42" si="25">+YEAR(F41)*1000+MONTH(F41)</f>
        <v>2015010</v>
      </c>
    </row>
    <row r="42" spans="1:11" x14ac:dyDescent="0.25">
      <c r="A42" s="12">
        <f>+'Rainfall Data'!B41</f>
        <v>41781</v>
      </c>
      <c r="B42" s="11">
        <f>+'Rainfall Data'!C41</f>
        <v>23</v>
      </c>
      <c r="C42" s="11">
        <f t="shared" si="0"/>
        <v>91.5</v>
      </c>
      <c r="D42" s="25">
        <f t="shared" si="1"/>
        <v>2014005</v>
      </c>
      <c r="F42" s="10">
        <v>42309</v>
      </c>
      <c r="G42" s="26">
        <f t="shared" si="22"/>
        <v>143.4</v>
      </c>
      <c r="H42" s="26">
        <f t="shared" si="23"/>
        <v>1884.0000000000002</v>
      </c>
      <c r="I42" s="25">
        <f t="shared" si="24"/>
        <v>2015</v>
      </c>
      <c r="J42" s="25">
        <f t="shared" si="25"/>
        <v>2015011</v>
      </c>
    </row>
    <row r="43" spans="1:11" x14ac:dyDescent="0.25">
      <c r="A43" s="12">
        <f>+'Rainfall Data'!B42</f>
        <v>41782</v>
      </c>
      <c r="B43" s="11">
        <f>+'Rainfall Data'!C42</f>
        <v>12.5</v>
      </c>
      <c r="C43" s="11">
        <f t="shared" si="0"/>
        <v>104</v>
      </c>
      <c r="D43" s="25">
        <f t="shared" si="1"/>
        <v>2014005</v>
      </c>
      <c r="F43" s="10">
        <v>42339</v>
      </c>
      <c r="G43" s="26">
        <f t="shared" ref="G43:G52" si="26">SUMIF($D$20:$D$10011,J43,$B$20:$B$10011)</f>
        <v>0</v>
      </c>
      <c r="H43" s="26">
        <f t="shared" ref="H43:H52" si="27">IF(G43="nd",0, IF(G43="T",0,G43))+H42</f>
        <v>1884.0000000000002</v>
      </c>
      <c r="I43" s="25">
        <f t="shared" ref="I43:I52" si="28">+YEAR(F43)</f>
        <v>2015</v>
      </c>
      <c r="J43" s="25">
        <f t="shared" ref="J43:J52" si="29">+YEAR(F43)*1000+MONTH(F43)</f>
        <v>2015012</v>
      </c>
      <c r="K43" s="2" t="s">
        <v>43</v>
      </c>
    </row>
    <row r="44" spans="1:11" x14ac:dyDescent="0.25">
      <c r="A44" s="12">
        <f>+'Rainfall Data'!B43</f>
        <v>41783</v>
      </c>
      <c r="B44" s="11">
        <f>+'Rainfall Data'!C43</f>
        <v>12.6</v>
      </c>
      <c r="C44" s="11">
        <f t="shared" si="0"/>
        <v>116.6</v>
      </c>
      <c r="D44" s="25">
        <f t="shared" si="1"/>
        <v>2014005</v>
      </c>
      <c r="F44" s="10">
        <v>42370</v>
      </c>
      <c r="G44" s="26">
        <f t="shared" si="26"/>
        <v>13.6</v>
      </c>
      <c r="H44" s="26">
        <f>IF(G44="nd",0, IF(G44="T",0,G44))</f>
        <v>13.6</v>
      </c>
      <c r="I44" s="25">
        <f t="shared" si="28"/>
        <v>2016</v>
      </c>
      <c r="J44" s="25">
        <f t="shared" si="29"/>
        <v>2016001</v>
      </c>
    </row>
    <row r="45" spans="1:11" x14ac:dyDescent="0.25">
      <c r="A45" s="12">
        <f>+'Rainfall Data'!B44</f>
        <v>41784</v>
      </c>
      <c r="B45" s="11">
        <f>+'Rainfall Data'!C44</f>
        <v>6</v>
      </c>
      <c r="C45" s="11">
        <f t="shared" si="0"/>
        <v>122.6</v>
      </c>
      <c r="D45" s="25">
        <f t="shared" si="1"/>
        <v>2014005</v>
      </c>
      <c r="F45" s="10">
        <v>42401</v>
      </c>
      <c r="G45" s="26">
        <f t="shared" si="26"/>
        <v>0</v>
      </c>
      <c r="H45" s="26">
        <f t="shared" si="27"/>
        <v>13.6</v>
      </c>
      <c r="I45" s="25">
        <f t="shared" si="28"/>
        <v>2016</v>
      </c>
      <c r="J45" s="25">
        <f t="shared" si="29"/>
        <v>2016002</v>
      </c>
      <c r="K45" s="2" t="s">
        <v>43</v>
      </c>
    </row>
    <row r="46" spans="1:11" x14ac:dyDescent="0.25">
      <c r="A46" s="12">
        <f>+'Rainfall Data'!B45</f>
        <v>41785</v>
      </c>
      <c r="B46" s="11">
        <f>+'Rainfall Data'!C45</f>
        <v>0</v>
      </c>
      <c r="C46" s="11">
        <f t="shared" si="0"/>
        <v>122.6</v>
      </c>
      <c r="D46" s="25">
        <f t="shared" si="1"/>
        <v>2014005</v>
      </c>
      <c r="F46" s="10">
        <v>42430</v>
      </c>
      <c r="G46" s="26">
        <f t="shared" si="26"/>
        <v>0</v>
      </c>
      <c r="H46" s="26">
        <f t="shared" si="27"/>
        <v>13.6</v>
      </c>
      <c r="I46" s="25">
        <f t="shared" si="28"/>
        <v>2016</v>
      </c>
      <c r="J46" s="25">
        <f t="shared" si="29"/>
        <v>2016003</v>
      </c>
      <c r="K46" s="2" t="s">
        <v>43</v>
      </c>
    </row>
    <row r="47" spans="1:11" x14ac:dyDescent="0.25">
      <c r="A47" s="12">
        <f>+'Rainfall Data'!B46</f>
        <v>41786</v>
      </c>
      <c r="B47" s="26">
        <f>+'Rainfall Data'!C46</f>
        <v>0</v>
      </c>
      <c r="C47" s="26">
        <f t="shared" ref="C47:C75" si="30">IF(B47="nd",0, IF(B47="T",0,B47))+C46</f>
        <v>122.6</v>
      </c>
      <c r="D47" s="25">
        <f t="shared" si="1"/>
        <v>2014005</v>
      </c>
      <c r="F47" s="10">
        <v>42461</v>
      </c>
      <c r="G47" s="26">
        <f t="shared" si="26"/>
        <v>0</v>
      </c>
      <c r="H47" s="26">
        <f t="shared" si="27"/>
        <v>13.6</v>
      </c>
      <c r="I47" s="25">
        <f t="shared" si="28"/>
        <v>2016</v>
      </c>
      <c r="J47" s="25">
        <f t="shared" si="29"/>
        <v>2016004</v>
      </c>
      <c r="K47" s="2" t="s">
        <v>43</v>
      </c>
    </row>
    <row r="48" spans="1:11" x14ac:dyDescent="0.25">
      <c r="A48" s="12">
        <f>+'Rainfall Data'!B47</f>
        <v>41787</v>
      </c>
      <c r="B48" s="26">
        <f>+'Rainfall Data'!C47</f>
        <v>0</v>
      </c>
      <c r="C48" s="26">
        <f t="shared" si="30"/>
        <v>122.6</v>
      </c>
      <c r="D48" s="25">
        <f t="shared" si="1"/>
        <v>2014005</v>
      </c>
      <c r="F48" s="10">
        <v>42491</v>
      </c>
      <c r="G48" s="26">
        <f t="shared" si="26"/>
        <v>12</v>
      </c>
      <c r="H48" s="26">
        <f t="shared" si="27"/>
        <v>25.6</v>
      </c>
      <c r="I48" s="25">
        <f t="shared" si="28"/>
        <v>2016</v>
      </c>
      <c r="J48" s="25">
        <f t="shared" si="29"/>
        <v>2016005</v>
      </c>
    </row>
    <row r="49" spans="1:10" x14ac:dyDescent="0.25">
      <c r="A49" s="12">
        <f>+'Rainfall Data'!B48</f>
        <v>41788</v>
      </c>
      <c r="B49" s="26">
        <f>+'Rainfall Data'!C48</f>
        <v>0</v>
      </c>
      <c r="C49" s="26">
        <f t="shared" si="30"/>
        <v>122.6</v>
      </c>
      <c r="D49" s="25">
        <f t="shared" si="1"/>
        <v>2014005</v>
      </c>
      <c r="F49" s="10">
        <v>42522</v>
      </c>
      <c r="G49" s="26">
        <f t="shared" si="26"/>
        <v>307.3</v>
      </c>
      <c r="H49" s="26">
        <f t="shared" si="27"/>
        <v>332.90000000000003</v>
      </c>
      <c r="I49" s="25">
        <f t="shared" si="28"/>
        <v>2016</v>
      </c>
      <c r="J49" s="25">
        <f t="shared" si="29"/>
        <v>2016006</v>
      </c>
    </row>
    <row r="50" spans="1:10" x14ac:dyDescent="0.25">
      <c r="A50" s="12">
        <f>+'Rainfall Data'!B49</f>
        <v>41789</v>
      </c>
      <c r="B50" s="26">
        <f>+'Rainfall Data'!C49</f>
        <v>1</v>
      </c>
      <c r="C50" s="26">
        <f t="shared" si="30"/>
        <v>123.6</v>
      </c>
      <c r="D50" s="25">
        <f t="shared" si="1"/>
        <v>2014005</v>
      </c>
      <c r="F50" s="10">
        <v>42552</v>
      </c>
      <c r="G50" s="26">
        <f t="shared" si="26"/>
        <v>267.89999999999998</v>
      </c>
      <c r="H50" s="26">
        <f t="shared" si="27"/>
        <v>600.79999999999995</v>
      </c>
      <c r="I50" s="25">
        <f t="shared" si="28"/>
        <v>2016</v>
      </c>
      <c r="J50" s="25">
        <f t="shared" si="29"/>
        <v>2016007</v>
      </c>
    </row>
    <row r="51" spans="1:10" x14ac:dyDescent="0.25">
      <c r="A51" s="12">
        <f>+'Rainfall Data'!B50</f>
        <v>41790</v>
      </c>
      <c r="B51" s="26" t="str">
        <f>+'Rainfall Data'!C50</f>
        <v>T</v>
      </c>
      <c r="C51" s="26">
        <f t="shared" si="30"/>
        <v>123.6</v>
      </c>
      <c r="D51" s="25">
        <f t="shared" si="1"/>
        <v>2014005</v>
      </c>
      <c r="F51" s="10">
        <v>42583</v>
      </c>
      <c r="G51" s="26">
        <f t="shared" si="26"/>
        <v>226.69999999999996</v>
      </c>
      <c r="H51" s="26">
        <f t="shared" si="27"/>
        <v>827.49999999999989</v>
      </c>
      <c r="I51" s="25">
        <f t="shared" si="28"/>
        <v>2016</v>
      </c>
      <c r="J51" s="25">
        <f t="shared" si="29"/>
        <v>2016008</v>
      </c>
    </row>
    <row r="52" spans="1:10" x14ac:dyDescent="0.25">
      <c r="A52" s="12">
        <f>+'Rainfall Data'!B51</f>
        <v>41791</v>
      </c>
      <c r="B52" s="26">
        <f>+'Rainfall Data'!C51</f>
        <v>0</v>
      </c>
      <c r="C52" s="26">
        <f t="shared" si="30"/>
        <v>123.6</v>
      </c>
      <c r="D52" s="25">
        <f t="shared" si="1"/>
        <v>2014006</v>
      </c>
      <c r="F52" s="10">
        <v>42614</v>
      </c>
      <c r="G52" s="26">
        <f t="shared" si="26"/>
        <v>293.90000000000003</v>
      </c>
      <c r="H52" s="26">
        <f t="shared" si="27"/>
        <v>1121.3999999999999</v>
      </c>
      <c r="I52" s="25">
        <f t="shared" si="28"/>
        <v>2016</v>
      </c>
      <c r="J52" s="25">
        <f t="shared" si="29"/>
        <v>2016009</v>
      </c>
    </row>
    <row r="53" spans="1:10" x14ac:dyDescent="0.25">
      <c r="A53" s="12">
        <f>+'Rainfall Data'!B52</f>
        <v>41792</v>
      </c>
      <c r="B53" s="26">
        <f>+'Rainfall Data'!C52</f>
        <v>0</v>
      </c>
      <c r="C53" s="26">
        <f t="shared" si="30"/>
        <v>123.6</v>
      </c>
      <c r="D53" s="25">
        <f t="shared" si="1"/>
        <v>2014006</v>
      </c>
      <c r="F53" s="10"/>
    </row>
    <row r="54" spans="1:10" x14ac:dyDescent="0.25">
      <c r="A54" s="12">
        <f>+'Rainfall Data'!B53</f>
        <v>41793</v>
      </c>
      <c r="B54" s="26">
        <f>+'Rainfall Data'!C53</f>
        <v>46</v>
      </c>
      <c r="C54" s="26">
        <f t="shared" si="30"/>
        <v>169.6</v>
      </c>
      <c r="D54" s="25">
        <f t="shared" si="1"/>
        <v>2014006</v>
      </c>
      <c r="F54" s="10"/>
    </row>
    <row r="55" spans="1:10" x14ac:dyDescent="0.25">
      <c r="A55" s="12">
        <f>+'Rainfall Data'!B54</f>
        <v>41794</v>
      </c>
      <c r="B55" s="26">
        <f>+'Rainfall Data'!C54</f>
        <v>21</v>
      </c>
      <c r="C55" s="26">
        <f t="shared" si="30"/>
        <v>190.6</v>
      </c>
      <c r="D55" s="25">
        <f t="shared" si="1"/>
        <v>2014006</v>
      </c>
      <c r="F55" s="10"/>
    </row>
    <row r="56" spans="1:10" x14ac:dyDescent="0.25">
      <c r="A56" s="12">
        <f>+'Rainfall Data'!B55</f>
        <v>41795</v>
      </c>
      <c r="B56" s="26">
        <f>+'Rainfall Data'!C55</f>
        <v>31</v>
      </c>
      <c r="C56" s="26">
        <f t="shared" si="30"/>
        <v>221.6</v>
      </c>
      <c r="D56" s="25">
        <f t="shared" si="1"/>
        <v>2014006</v>
      </c>
    </row>
    <row r="57" spans="1:10" x14ac:dyDescent="0.25">
      <c r="A57" s="12">
        <f>+'Rainfall Data'!B56</f>
        <v>41796</v>
      </c>
      <c r="B57" s="26">
        <f>+'Rainfall Data'!C56</f>
        <v>29</v>
      </c>
      <c r="C57" s="26">
        <f t="shared" si="30"/>
        <v>250.6</v>
      </c>
      <c r="D57" s="25">
        <f t="shared" si="1"/>
        <v>2014006</v>
      </c>
    </row>
    <row r="58" spans="1:10" x14ac:dyDescent="0.25">
      <c r="A58" s="12">
        <f>+'Rainfall Data'!B57</f>
        <v>41797</v>
      </c>
      <c r="B58" s="26">
        <f>+'Rainfall Data'!C57</f>
        <v>0</v>
      </c>
      <c r="C58" s="26">
        <f t="shared" si="30"/>
        <v>250.6</v>
      </c>
      <c r="D58" s="25">
        <f t="shared" si="1"/>
        <v>2014006</v>
      </c>
    </row>
    <row r="59" spans="1:10" x14ac:dyDescent="0.25">
      <c r="A59" s="12">
        <f>+'Rainfall Data'!B58</f>
        <v>41798</v>
      </c>
      <c r="B59" s="26">
        <f>+'Rainfall Data'!C58</f>
        <v>0</v>
      </c>
      <c r="C59" s="26">
        <f t="shared" si="30"/>
        <v>250.6</v>
      </c>
      <c r="D59" s="25">
        <f t="shared" si="1"/>
        <v>2014006</v>
      </c>
    </row>
    <row r="60" spans="1:10" x14ac:dyDescent="0.25">
      <c r="A60" s="12">
        <f>+'Rainfall Data'!B59</f>
        <v>41799</v>
      </c>
      <c r="B60" s="26">
        <f>+'Rainfall Data'!C59</f>
        <v>0</v>
      </c>
      <c r="C60" s="26">
        <f t="shared" si="30"/>
        <v>250.6</v>
      </c>
      <c r="D60" s="25">
        <f t="shared" si="1"/>
        <v>2014006</v>
      </c>
    </row>
    <row r="61" spans="1:10" x14ac:dyDescent="0.25">
      <c r="A61" s="12">
        <f>+'Rainfall Data'!B60</f>
        <v>41800</v>
      </c>
      <c r="B61" s="26">
        <f>+'Rainfall Data'!C60</f>
        <v>0</v>
      </c>
      <c r="C61" s="26">
        <f t="shared" si="30"/>
        <v>250.6</v>
      </c>
      <c r="D61" s="25">
        <f t="shared" si="1"/>
        <v>2014006</v>
      </c>
    </row>
    <row r="62" spans="1:10" x14ac:dyDescent="0.25">
      <c r="A62" s="12">
        <f>+'Rainfall Data'!B61</f>
        <v>41801</v>
      </c>
      <c r="B62" s="26">
        <f>+'Rainfall Data'!C61</f>
        <v>0</v>
      </c>
      <c r="C62" s="26">
        <f t="shared" si="30"/>
        <v>250.6</v>
      </c>
      <c r="D62" s="25">
        <f t="shared" si="1"/>
        <v>2014006</v>
      </c>
    </row>
    <row r="63" spans="1:10" x14ac:dyDescent="0.25">
      <c r="A63" s="12">
        <f>+'Rainfall Data'!B62</f>
        <v>41802</v>
      </c>
      <c r="B63" s="26">
        <f>+'Rainfall Data'!C62</f>
        <v>24</v>
      </c>
      <c r="C63" s="26">
        <f t="shared" si="30"/>
        <v>274.60000000000002</v>
      </c>
      <c r="D63" s="25">
        <f t="shared" si="1"/>
        <v>2014006</v>
      </c>
    </row>
    <row r="64" spans="1:10" x14ac:dyDescent="0.25">
      <c r="A64" s="12">
        <f>+'Rainfall Data'!B63</f>
        <v>41803</v>
      </c>
      <c r="B64" s="26">
        <f>+'Rainfall Data'!C63</f>
        <v>3</v>
      </c>
      <c r="C64" s="26">
        <f t="shared" si="30"/>
        <v>277.60000000000002</v>
      </c>
      <c r="D64" s="25">
        <f t="shared" si="1"/>
        <v>2014006</v>
      </c>
    </row>
    <row r="65" spans="1:4" x14ac:dyDescent="0.25">
      <c r="A65" s="12">
        <f>+'Rainfall Data'!B64</f>
        <v>41804</v>
      </c>
      <c r="B65" s="26">
        <f>+'Rainfall Data'!C64</f>
        <v>7.5</v>
      </c>
      <c r="C65" s="26">
        <f t="shared" si="30"/>
        <v>285.10000000000002</v>
      </c>
      <c r="D65" s="25">
        <f t="shared" si="1"/>
        <v>2014006</v>
      </c>
    </row>
    <row r="66" spans="1:4" x14ac:dyDescent="0.25">
      <c r="A66" s="12">
        <f>+'Rainfall Data'!B65</f>
        <v>41805</v>
      </c>
      <c r="B66" s="26">
        <f>+'Rainfall Data'!C65</f>
        <v>0</v>
      </c>
      <c r="C66" s="26">
        <f t="shared" si="30"/>
        <v>285.10000000000002</v>
      </c>
      <c r="D66" s="25">
        <f t="shared" si="1"/>
        <v>2014006</v>
      </c>
    </row>
    <row r="67" spans="1:4" x14ac:dyDescent="0.25">
      <c r="A67" s="12">
        <f>+'Rainfall Data'!B66</f>
        <v>41806</v>
      </c>
      <c r="B67" s="26">
        <f>+'Rainfall Data'!C66</f>
        <v>0</v>
      </c>
      <c r="C67" s="26">
        <f t="shared" si="30"/>
        <v>285.10000000000002</v>
      </c>
      <c r="D67" s="25">
        <f t="shared" si="1"/>
        <v>2014006</v>
      </c>
    </row>
    <row r="68" spans="1:4" x14ac:dyDescent="0.25">
      <c r="A68" s="12">
        <f>+'Rainfall Data'!B67</f>
        <v>41807</v>
      </c>
      <c r="B68" s="26">
        <f>+'Rainfall Data'!C67</f>
        <v>11</v>
      </c>
      <c r="C68" s="26">
        <f t="shared" si="30"/>
        <v>296.10000000000002</v>
      </c>
      <c r="D68" s="25">
        <f t="shared" si="1"/>
        <v>2014006</v>
      </c>
    </row>
    <row r="69" spans="1:4" x14ac:dyDescent="0.25">
      <c r="A69" s="12">
        <f>+'Rainfall Data'!B68</f>
        <v>41808</v>
      </c>
      <c r="B69" s="26">
        <f>+'Rainfall Data'!C68</f>
        <v>4</v>
      </c>
      <c r="C69" s="26">
        <f t="shared" si="30"/>
        <v>300.10000000000002</v>
      </c>
      <c r="D69" s="25">
        <f t="shared" si="1"/>
        <v>2014006</v>
      </c>
    </row>
    <row r="70" spans="1:4" x14ac:dyDescent="0.25">
      <c r="A70" s="12">
        <f>+'Rainfall Data'!B69</f>
        <v>41809</v>
      </c>
      <c r="B70" s="26" t="str">
        <f>+'Rainfall Data'!C69</f>
        <v>T</v>
      </c>
      <c r="C70" s="26">
        <f t="shared" si="30"/>
        <v>300.10000000000002</v>
      </c>
      <c r="D70" s="25">
        <f t="shared" si="1"/>
        <v>2014006</v>
      </c>
    </row>
    <row r="71" spans="1:4" x14ac:dyDescent="0.25">
      <c r="A71" s="12">
        <f>+'Rainfall Data'!B70</f>
        <v>41810</v>
      </c>
      <c r="B71" s="26">
        <f>+'Rainfall Data'!C70</f>
        <v>0</v>
      </c>
      <c r="C71" s="26">
        <f t="shared" si="30"/>
        <v>300.10000000000002</v>
      </c>
      <c r="D71" s="25">
        <f t="shared" si="1"/>
        <v>2014006</v>
      </c>
    </row>
    <row r="72" spans="1:4" x14ac:dyDescent="0.25">
      <c r="A72" s="12">
        <f>+'Rainfall Data'!B71</f>
        <v>41811</v>
      </c>
      <c r="B72" s="26">
        <f>+'Rainfall Data'!C71</f>
        <v>22</v>
      </c>
      <c r="C72" s="26">
        <f t="shared" si="30"/>
        <v>322.10000000000002</v>
      </c>
      <c r="D72" s="25">
        <f t="shared" si="1"/>
        <v>2014006</v>
      </c>
    </row>
    <row r="73" spans="1:4" x14ac:dyDescent="0.25">
      <c r="A73" s="12">
        <f>+'Rainfall Data'!B72</f>
        <v>41812</v>
      </c>
      <c r="B73" s="26">
        <f>+'Rainfall Data'!C72</f>
        <v>0</v>
      </c>
      <c r="C73" s="26">
        <f t="shared" si="30"/>
        <v>322.10000000000002</v>
      </c>
      <c r="D73" s="25">
        <f t="shared" si="1"/>
        <v>2014006</v>
      </c>
    </row>
    <row r="74" spans="1:4" x14ac:dyDescent="0.25">
      <c r="A74" s="12">
        <f>+'Rainfall Data'!B73</f>
        <v>41813</v>
      </c>
      <c r="B74" s="26" t="str">
        <f>+'Rainfall Data'!C73</f>
        <v>T</v>
      </c>
      <c r="C74" s="26">
        <f t="shared" si="30"/>
        <v>322.10000000000002</v>
      </c>
      <c r="D74" s="25">
        <f t="shared" si="1"/>
        <v>2014006</v>
      </c>
    </row>
    <row r="75" spans="1:4" x14ac:dyDescent="0.25">
      <c r="A75" s="12">
        <f>+'Rainfall Data'!B74</f>
        <v>41814</v>
      </c>
      <c r="B75" s="26">
        <f>+'Rainfall Data'!C74</f>
        <v>18</v>
      </c>
      <c r="C75" s="26">
        <f t="shared" si="30"/>
        <v>340.1</v>
      </c>
      <c r="D75" s="25">
        <f t="shared" si="1"/>
        <v>2014006</v>
      </c>
    </row>
    <row r="76" spans="1:4" x14ac:dyDescent="0.25">
      <c r="A76" s="12">
        <f>+'Rainfall Data'!B75</f>
        <v>41815</v>
      </c>
      <c r="B76" s="26">
        <f>+'Rainfall Data'!C75</f>
        <v>8</v>
      </c>
      <c r="C76" s="26">
        <f t="shared" ref="C76:C78" si="31">IF(B76="nd",0, IF(B76="T",0,B76))+C75</f>
        <v>348.1</v>
      </c>
      <c r="D76" s="25">
        <f t="shared" si="1"/>
        <v>2014006</v>
      </c>
    </row>
    <row r="77" spans="1:4" x14ac:dyDescent="0.25">
      <c r="A77" s="12">
        <f>+'Rainfall Data'!B76</f>
        <v>41816</v>
      </c>
      <c r="B77" s="26">
        <f>+'Rainfall Data'!C76</f>
        <v>7</v>
      </c>
      <c r="C77" s="26">
        <f t="shared" si="31"/>
        <v>355.1</v>
      </c>
      <c r="D77" s="25">
        <f t="shared" si="1"/>
        <v>2014006</v>
      </c>
    </row>
    <row r="78" spans="1:4" x14ac:dyDescent="0.25">
      <c r="A78" s="12">
        <f>+'Rainfall Data'!B77</f>
        <v>41817</v>
      </c>
      <c r="B78" s="26">
        <f>+'Rainfall Data'!C77</f>
        <v>7</v>
      </c>
      <c r="C78" s="26">
        <f t="shared" si="31"/>
        <v>362.1</v>
      </c>
      <c r="D78" s="25">
        <f t="shared" ref="D78:D81" si="32">+YEAR(A78)*1000+MONTH(A78)</f>
        <v>2014006</v>
      </c>
    </row>
    <row r="79" spans="1:4" x14ac:dyDescent="0.25">
      <c r="A79" s="12">
        <f>+'Rainfall Data'!B78</f>
        <v>41818</v>
      </c>
      <c r="B79" s="26">
        <f>+'Rainfall Data'!C78</f>
        <v>6.5</v>
      </c>
      <c r="C79" s="26">
        <f t="shared" ref="C79:C82" si="33">IF(B79="nd",0, IF(B79="T",0,B79))+C78</f>
        <v>368.6</v>
      </c>
      <c r="D79" s="25">
        <f t="shared" si="32"/>
        <v>2014006</v>
      </c>
    </row>
    <row r="80" spans="1:4" x14ac:dyDescent="0.25">
      <c r="A80" s="12">
        <f>+'Rainfall Data'!B79</f>
        <v>41819</v>
      </c>
      <c r="B80" s="26">
        <f>+'Rainfall Data'!C79</f>
        <v>3</v>
      </c>
      <c r="C80" s="26">
        <f t="shared" si="33"/>
        <v>371.6</v>
      </c>
      <c r="D80" s="25">
        <f t="shared" si="32"/>
        <v>2014006</v>
      </c>
    </row>
    <row r="81" spans="1:4" x14ac:dyDescent="0.25">
      <c r="A81" s="12">
        <f>+'Rainfall Data'!B80</f>
        <v>41820</v>
      </c>
      <c r="B81" s="26">
        <f>+'Rainfall Data'!C80</f>
        <v>55</v>
      </c>
      <c r="C81" s="26">
        <f t="shared" si="33"/>
        <v>426.6</v>
      </c>
      <c r="D81" s="25">
        <f t="shared" si="32"/>
        <v>2014006</v>
      </c>
    </row>
    <row r="82" spans="1:4" x14ac:dyDescent="0.25">
      <c r="A82" s="12">
        <f>+'Rainfall Data'!B81</f>
        <v>41821</v>
      </c>
      <c r="B82" s="26">
        <f>+'Rainfall Data'!C81</f>
        <v>21</v>
      </c>
      <c r="C82" s="26">
        <f t="shared" si="33"/>
        <v>447.6</v>
      </c>
      <c r="D82" s="25">
        <f t="shared" ref="D82:D100" si="34">+YEAR(A82)*1000+MONTH(A82)</f>
        <v>2014007</v>
      </c>
    </row>
    <row r="83" spans="1:4" x14ac:dyDescent="0.25">
      <c r="A83" s="12">
        <f>+'Rainfall Data'!B82</f>
        <v>41822</v>
      </c>
      <c r="B83" s="26">
        <f>+'Rainfall Data'!C82</f>
        <v>11</v>
      </c>
      <c r="C83" s="26">
        <f t="shared" ref="C83:C101" si="35">IF(B83="nd",0, IF(B83="T",0,B83))+C82</f>
        <v>458.6</v>
      </c>
      <c r="D83" s="25">
        <f t="shared" si="34"/>
        <v>2014007</v>
      </c>
    </row>
    <row r="84" spans="1:4" x14ac:dyDescent="0.25">
      <c r="A84" s="12">
        <f>+'Rainfall Data'!B83</f>
        <v>41823</v>
      </c>
      <c r="B84" s="26">
        <f>+'Rainfall Data'!C83</f>
        <v>8</v>
      </c>
      <c r="C84" s="26">
        <f t="shared" si="35"/>
        <v>466.6</v>
      </c>
      <c r="D84" s="25">
        <f t="shared" si="34"/>
        <v>2014007</v>
      </c>
    </row>
    <row r="85" spans="1:4" x14ac:dyDescent="0.25">
      <c r="A85" s="12">
        <f>+'Rainfall Data'!B84</f>
        <v>41824</v>
      </c>
      <c r="B85" s="26">
        <f>+'Rainfall Data'!C84</f>
        <v>7</v>
      </c>
      <c r="C85" s="26">
        <f t="shared" si="35"/>
        <v>473.6</v>
      </c>
      <c r="D85" s="25">
        <f t="shared" si="34"/>
        <v>2014007</v>
      </c>
    </row>
    <row r="86" spans="1:4" x14ac:dyDescent="0.25">
      <c r="A86" s="12">
        <f>+'Rainfall Data'!B85</f>
        <v>41825</v>
      </c>
      <c r="B86" s="26">
        <f>+'Rainfall Data'!C85</f>
        <v>11</v>
      </c>
      <c r="C86" s="26">
        <f t="shared" si="35"/>
        <v>484.6</v>
      </c>
      <c r="D86" s="25">
        <f t="shared" si="34"/>
        <v>2014007</v>
      </c>
    </row>
    <row r="87" spans="1:4" x14ac:dyDescent="0.25">
      <c r="A87" s="12">
        <f>+'Rainfall Data'!B86</f>
        <v>41826</v>
      </c>
      <c r="B87" s="26" t="str">
        <f>+'Rainfall Data'!C86</f>
        <v>T</v>
      </c>
      <c r="C87" s="26">
        <f t="shared" si="35"/>
        <v>484.6</v>
      </c>
      <c r="D87" s="25">
        <f t="shared" si="34"/>
        <v>2014007</v>
      </c>
    </row>
    <row r="88" spans="1:4" x14ac:dyDescent="0.25">
      <c r="A88" s="12">
        <f>+'Rainfall Data'!B87</f>
        <v>41827</v>
      </c>
      <c r="B88" s="26">
        <f>+'Rainfall Data'!C87</f>
        <v>7</v>
      </c>
      <c r="C88" s="26">
        <f t="shared" si="35"/>
        <v>491.6</v>
      </c>
      <c r="D88" s="25">
        <f t="shared" si="34"/>
        <v>2014007</v>
      </c>
    </row>
    <row r="89" spans="1:4" x14ac:dyDescent="0.25">
      <c r="A89" s="12">
        <f>+'Rainfall Data'!B88</f>
        <v>41828</v>
      </c>
      <c r="B89" s="26" t="str">
        <f>+'Rainfall Data'!C88</f>
        <v>T</v>
      </c>
      <c r="C89" s="26">
        <f t="shared" si="35"/>
        <v>491.6</v>
      </c>
      <c r="D89" s="25">
        <f t="shared" si="34"/>
        <v>2014007</v>
      </c>
    </row>
    <row r="90" spans="1:4" x14ac:dyDescent="0.25">
      <c r="A90" s="12">
        <f>+'Rainfall Data'!B89</f>
        <v>41829</v>
      </c>
      <c r="B90" s="26">
        <f>+'Rainfall Data'!C89</f>
        <v>0</v>
      </c>
      <c r="C90" s="26">
        <f t="shared" si="35"/>
        <v>491.6</v>
      </c>
      <c r="D90" s="25">
        <f t="shared" si="34"/>
        <v>2014007</v>
      </c>
    </row>
    <row r="91" spans="1:4" x14ac:dyDescent="0.25">
      <c r="A91" s="12">
        <f>+'Rainfall Data'!B90</f>
        <v>41830</v>
      </c>
      <c r="B91" s="26">
        <f>+'Rainfall Data'!C90</f>
        <v>6</v>
      </c>
      <c r="C91" s="26">
        <f t="shared" si="35"/>
        <v>497.6</v>
      </c>
      <c r="D91" s="25">
        <f t="shared" si="34"/>
        <v>2014007</v>
      </c>
    </row>
    <row r="92" spans="1:4" x14ac:dyDescent="0.25">
      <c r="A92" s="12">
        <f>+'Rainfall Data'!B91</f>
        <v>41831</v>
      </c>
      <c r="B92" s="26">
        <f>+'Rainfall Data'!C91</f>
        <v>23</v>
      </c>
      <c r="C92" s="26">
        <f t="shared" si="35"/>
        <v>520.6</v>
      </c>
      <c r="D92" s="25">
        <f t="shared" si="34"/>
        <v>2014007</v>
      </c>
    </row>
    <row r="93" spans="1:4" x14ac:dyDescent="0.25">
      <c r="A93" s="12">
        <f>+'Rainfall Data'!B92</f>
        <v>41832</v>
      </c>
      <c r="B93" s="26">
        <f>+'Rainfall Data'!C92</f>
        <v>4</v>
      </c>
      <c r="C93" s="26">
        <f t="shared" si="35"/>
        <v>524.6</v>
      </c>
      <c r="D93" s="25">
        <f t="shared" si="34"/>
        <v>2014007</v>
      </c>
    </row>
    <row r="94" spans="1:4" x14ac:dyDescent="0.25">
      <c r="A94" s="12">
        <f>+'Rainfall Data'!B93</f>
        <v>41833</v>
      </c>
      <c r="B94" s="26">
        <f>+'Rainfall Data'!C93</f>
        <v>24</v>
      </c>
      <c r="C94" s="26">
        <f t="shared" si="35"/>
        <v>548.6</v>
      </c>
      <c r="D94" s="25">
        <f t="shared" si="34"/>
        <v>2014007</v>
      </c>
    </row>
    <row r="95" spans="1:4" x14ac:dyDescent="0.25">
      <c r="A95" s="12">
        <f>+'Rainfall Data'!B94</f>
        <v>41834</v>
      </c>
      <c r="B95" s="26">
        <f>+'Rainfall Data'!C94</f>
        <v>6</v>
      </c>
      <c r="C95" s="26">
        <f t="shared" si="35"/>
        <v>554.6</v>
      </c>
      <c r="D95" s="25">
        <f t="shared" si="34"/>
        <v>2014007</v>
      </c>
    </row>
    <row r="96" spans="1:4" x14ac:dyDescent="0.25">
      <c r="A96" s="12">
        <f>+'Rainfall Data'!B95</f>
        <v>41835</v>
      </c>
      <c r="B96" s="26" t="str">
        <f>+'Rainfall Data'!C95</f>
        <v>T</v>
      </c>
      <c r="C96" s="26">
        <f t="shared" si="35"/>
        <v>554.6</v>
      </c>
      <c r="D96" s="25">
        <f t="shared" si="34"/>
        <v>2014007</v>
      </c>
    </row>
    <row r="97" spans="1:4" x14ac:dyDescent="0.25">
      <c r="A97" s="12">
        <f>+'Rainfall Data'!B96</f>
        <v>41836</v>
      </c>
      <c r="B97" s="26">
        <f>+'Rainfall Data'!C96</f>
        <v>30</v>
      </c>
      <c r="C97" s="26">
        <f t="shared" si="35"/>
        <v>584.6</v>
      </c>
      <c r="D97" s="25">
        <f t="shared" si="34"/>
        <v>2014007</v>
      </c>
    </row>
    <row r="98" spans="1:4" x14ac:dyDescent="0.25">
      <c r="A98" s="12">
        <f>+'Rainfall Data'!B97</f>
        <v>41837</v>
      </c>
      <c r="B98" s="26" t="str">
        <f>+'Rainfall Data'!C97</f>
        <v>T</v>
      </c>
      <c r="C98" s="26">
        <f t="shared" si="35"/>
        <v>584.6</v>
      </c>
      <c r="D98" s="25">
        <f t="shared" si="34"/>
        <v>2014007</v>
      </c>
    </row>
    <row r="99" spans="1:4" x14ac:dyDescent="0.25">
      <c r="A99" s="12">
        <f>+'Rainfall Data'!B98</f>
        <v>41838</v>
      </c>
      <c r="B99" s="26">
        <f>+'Rainfall Data'!C98</f>
        <v>6</v>
      </c>
      <c r="C99" s="26">
        <f t="shared" si="35"/>
        <v>590.6</v>
      </c>
      <c r="D99" s="25">
        <f t="shared" si="34"/>
        <v>2014007</v>
      </c>
    </row>
    <row r="100" spans="1:4" x14ac:dyDescent="0.25">
      <c r="A100" s="12">
        <f>+'Rainfall Data'!B99</f>
        <v>41839</v>
      </c>
      <c r="B100" s="26">
        <f>+'Rainfall Data'!C99</f>
        <v>5</v>
      </c>
      <c r="C100" s="26">
        <f t="shared" si="35"/>
        <v>595.6</v>
      </c>
      <c r="D100" s="25">
        <f t="shared" si="34"/>
        <v>2014007</v>
      </c>
    </row>
    <row r="101" spans="1:4" x14ac:dyDescent="0.25">
      <c r="A101" s="12">
        <f>+'Rainfall Data'!B100</f>
        <v>41840</v>
      </c>
      <c r="B101" s="26" t="str">
        <f>+'Rainfall Data'!C100</f>
        <v>T</v>
      </c>
      <c r="C101" s="26">
        <f t="shared" si="35"/>
        <v>595.6</v>
      </c>
      <c r="D101" s="25">
        <f t="shared" ref="D101:D164" si="36">+YEAR(A101)*1000+MONTH(A101)</f>
        <v>2014007</v>
      </c>
    </row>
    <row r="102" spans="1:4" x14ac:dyDescent="0.25">
      <c r="A102" s="12">
        <f>+'Rainfall Data'!B101</f>
        <v>41841</v>
      </c>
      <c r="B102" s="26">
        <f>+'Rainfall Data'!C101</f>
        <v>15</v>
      </c>
      <c r="C102" s="26">
        <f t="shared" ref="C102:C165" si="37">IF(B102="nd",0, IF(B102="T",0,B102))+C101</f>
        <v>610.6</v>
      </c>
      <c r="D102" s="25">
        <f t="shared" si="36"/>
        <v>2014007</v>
      </c>
    </row>
    <row r="103" spans="1:4" x14ac:dyDescent="0.25">
      <c r="A103" s="12">
        <f>+'Rainfall Data'!B102</f>
        <v>41842</v>
      </c>
      <c r="B103" s="26" t="str">
        <f>+'Rainfall Data'!C102</f>
        <v>T</v>
      </c>
      <c r="C103" s="26">
        <f t="shared" si="37"/>
        <v>610.6</v>
      </c>
      <c r="D103" s="25">
        <f t="shared" si="36"/>
        <v>2014007</v>
      </c>
    </row>
    <row r="104" spans="1:4" x14ac:dyDescent="0.25">
      <c r="A104" s="12">
        <f>+'Rainfall Data'!B103</f>
        <v>41843</v>
      </c>
      <c r="B104" s="26">
        <f>+'Rainfall Data'!C103</f>
        <v>13</v>
      </c>
      <c r="C104" s="26">
        <f t="shared" si="37"/>
        <v>623.6</v>
      </c>
      <c r="D104" s="25">
        <f t="shared" si="36"/>
        <v>2014007</v>
      </c>
    </row>
    <row r="105" spans="1:4" x14ac:dyDescent="0.25">
      <c r="A105" s="12">
        <f>+'Rainfall Data'!B104</f>
        <v>41844</v>
      </c>
      <c r="B105" s="26">
        <f>+'Rainfall Data'!C104</f>
        <v>12</v>
      </c>
      <c r="C105" s="26">
        <f t="shared" si="37"/>
        <v>635.6</v>
      </c>
      <c r="D105" s="25">
        <f t="shared" si="36"/>
        <v>2014007</v>
      </c>
    </row>
    <row r="106" spans="1:4" x14ac:dyDescent="0.25">
      <c r="A106" s="12">
        <f>+'Rainfall Data'!B105</f>
        <v>41845</v>
      </c>
      <c r="B106" s="26" t="str">
        <f>+'Rainfall Data'!C105</f>
        <v>T</v>
      </c>
      <c r="C106" s="26">
        <f t="shared" si="37"/>
        <v>635.6</v>
      </c>
      <c r="D106" s="25">
        <f t="shared" si="36"/>
        <v>2014007</v>
      </c>
    </row>
    <row r="107" spans="1:4" x14ac:dyDescent="0.25">
      <c r="A107" s="12">
        <f>+'Rainfall Data'!B106</f>
        <v>41846</v>
      </c>
      <c r="B107" s="26">
        <f>+'Rainfall Data'!C106</f>
        <v>30</v>
      </c>
      <c r="C107" s="26">
        <f t="shared" si="37"/>
        <v>665.6</v>
      </c>
      <c r="D107" s="25">
        <f t="shared" si="36"/>
        <v>2014007</v>
      </c>
    </row>
    <row r="108" spans="1:4" x14ac:dyDescent="0.25">
      <c r="A108" s="12">
        <f>+'Rainfall Data'!B107</f>
        <v>41847</v>
      </c>
      <c r="B108" s="26">
        <f>+'Rainfall Data'!C107</f>
        <v>12</v>
      </c>
      <c r="C108" s="26">
        <f t="shared" si="37"/>
        <v>677.6</v>
      </c>
      <c r="D108" s="25">
        <f t="shared" si="36"/>
        <v>2014007</v>
      </c>
    </row>
    <row r="109" spans="1:4" x14ac:dyDescent="0.25">
      <c r="A109" s="12">
        <f>+'Rainfall Data'!B108</f>
        <v>41848</v>
      </c>
      <c r="B109" s="26">
        <f>+'Rainfall Data'!C108</f>
        <v>3</v>
      </c>
      <c r="C109" s="26">
        <f t="shared" si="37"/>
        <v>680.6</v>
      </c>
      <c r="D109" s="25">
        <f t="shared" si="36"/>
        <v>2014007</v>
      </c>
    </row>
    <row r="110" spans="1:4" x14ac:dyDescent="0.25">
      <c r="A110" s="12">
        <f>+'Rainfall Data'!B109</f>
        <v>41849</v>
      </c>
      <c r="B110" s="26">
        <f>+'Rainfall Data'!C109</f>
        <v>2</v>
      </c>
      <c r="C110" s="26">
        <f t="shared" si="37"/>
        <v>682.6</v>
      </c>
      <c r="D110" s="25">
        <f t="shared" si="36"/>
        <v>2014007</v>
      </c>
    </row>
    <row r="111" spans="1:4" x14ac:dyDescent="0.25">
      <c r="A111" s="12">
        <f>+'Rainfall Data'!B110</f>
        <v>41850</v>
      </c>
      <c r="B111" s="26">
        <f>+'Rainfall Data'!C110</f>
        <v>0</v>
      </c>
      <c r="C111" s="26">
        <f t="shared" si="37"/>
        <v>682.6</v>
      </c>
      <c r="D111" s="25">
        <f t="shared" si="36"/>
        <v>2014007</v>
      </c>
    </row>
    <row r="112" spans="1:4" x14ac:dyDescent="0.25">
      <c r="A112" s="12">
        <f>+'Rainfall Data'!B111</f>
        <v>41851</v>
      </c>
      <c r="B112" s="26">
        <f>+'Rainfall Data'!C111</f>
        <v>49</v>
      </c>
      <c r="C112" s="26">
        <f t="shared" si="37"/>
        <v>731.6</v>
      </c>
      <c r="D112" s="25">
        <f t="shared" si="36"/>
        <v>2014007</v>
      </c>
    </row>
    <row r="113" spans="1:4" x14ac:dyDescent="0.25">
      <c r="A113" s="12">
        <f>+'Rainfall Data'!B112</f>
        <v>41852</v>
      </c>
      <c r="B113" s="26">
        <f>+'Rainfall Data'!C112</f>
        <v>29</v>
      </c>
      <c r="C113" s="26">
        <f t="shared" si="37"/>
        <v>760.6</v>
      </c>
      <c r="D113" s="25">
        <f t="shared" si="36"/>
        <v>2014008</v>
      </c>
    </row>
    <row r="114" spans="1:4" x14ac:dyDescent="0.25">
      <c r="A114" s="12">
        <f>+'Rainfall Data'!B113</f>
        <v>41853</v>
      </c>
      <c r="B114" s="26">
        <f>+'Rainfall Data'!C113</f>
        <v>6</v>
      </c>
      <c r="C114" s="26">
        <f t="shared" si="37"/>
        <v>766.6</v>
      </c>
      <c r="D114" s="25">
        <f t="shared" si="36"/>
        <v>2014008</v>
      </c>
    </row>
    <row r="115" spans="1:4" x14ac:dyDescent="0.25">
      <c r="A115" s="12">
        <f>+'Rainfall Data'!B114</f>
        <v>41854</v>
      </c>
      <c r="B115" s="26">
        <f>+'Rainfall Data'!C114</f>
        <v>10.5</v>
      </c>
      <c r="C115" s="26">
        <f t="shared" si="37"/>
        <v>777.1</v>
      </c>
      <c r="D115" s="25">
        <f t="shared" si="36"/>
        <v>2014008</v>
      </c>
    </row>
    <row r="116" spans="1:4" x14ac:dyDescent="0.25">
      <c r="A116" s="12">
        <f>+'Rainfall Data'!B115</f>
        <v>41855</v>
      </c>
      <c r="B116" s="26">
        <f>+'Rainfall Data'!C115</f>
        <v>14</v>
      </c>
      <c r="C116" s="26">
        <f t="shared" si="37"/>
        <v>791.1</v>
      </c>
      <c r="D116" s="25">
        <f t="shared" si="36"/>
        <v>2014008</v>
      </c>
    </row>
    <row r="117" spans="1:4" x14ac:dyDescent="0.25">
      <c r="A117" s="12">
        <f>+'Rainfall Data'!B116</f>
        <v>41856</v>
      </c>
      <c r="B117" s="26" t="str">
        <f>+'Rainfall Data'!C116</f>
        <v>T</v>
      </c>
      <c r="C117" s="26">
        <f t="shared" si="37"/>
        <v>791.1</v>
      </c>
      <c r="D117" s="25">
        <f t="shared" si="36"/>
        <v>2014008</v>
      </c>
    </row>
    <row r="118" spans="1:4" x14ac:dyDescent="0.25">
      <c r="A118" s="12">
        <f>+'Rainfall Data'!B117</f>
        <v>41857</v>
      </c>
      <c r="B118" s="26">
        <f>+'Rainfall Data'!C117</f>
        <v>3</v>
      </c>
      <c r="C118" s="26">
        <f t="shared" si="37"/>
        <v>794.1</v>
      </c>
      <c r="D118" s="25">
        <f t="shared" si="36"/>
        <v>2014008</v>
      </c>
    </row>
    <row r="119" spans="1:4" x14ac:dyDescent="0.25">
      <c r="A119" s="12">
        <f>+'Rainfall Data'!B118</f>
        <v>41858</v>
      </c>
      <c r="B119" s="26">
        <f>+'Rainfall Data'!C118</f>
        <v>0</v>
      </c>
      <c r="C119" s="26">
        <f t="shared" si="37"/>
        <v>794.1</v>
      </c>
      <c r="D119" s="25">
        <f t="shared" si="36"/>
        <v>2014008</v>
      </c>
    </row>
    <row r="120" spans="1:4" x14ac:dyDescent="0.25">
      <c r="A120" s="12">
        <f>+'Rainfall Data'!B119</f>
        <v>41859</v>
      </c>
      <c r="B120" s="26">
        <f>+'Rainfall Data'!C119</f>
        <v>62</v>
      </c>
      <c r="C120" s="26">
        <f t="shared" si="37"/>
        <v>856.1</v>
      </c>
      <c r="D120" s="25">
        <f t="shared" si="36"/>
        <v>2014008</v>
      </c>
    </row>
    <row r="121" spans="1:4" x14ac:dyDescent="0.25">
      <c r="A121" s="12">
        <f>+'Rainfall Data'!B120</f>
        <v>41860</v>
      </c>
      <c r="B121" s="26">
        <f>+'Rainfall Data'!C120</f>
        <v>39</v>
      </c>
      <c r="C121" s="26">
        <f t="shared" si="37"/>
        <v>895.1</v>
      </c>
      <c r="D121" s="25">
        <f t="shared" si="36"/>
        <v>2014008</v>
      </c>
    </row>
    <row r="122" spans="1:4" x14ac:dyDescent="0.25">
      <c r="A122" s="12">
        <f>+'Rainfall Data'!B121</f>
        <v>41861</v>
      </c>
      <c r="B122" s="26">
        <f>+'Rainfall Data'!C121</f>
        <v>5</v>
      </c>
      <c r="C122" s="26">
        <f t="shared" si="37"/>
        <v>900.1</v>
      </c>
      <c r="D122" s="25">
        <f t="shared" si="36"/>
        <v>2014008</v>
      </c>
    </row>
    <row r="123" spans="1:4" x14ac:dyDescent="0.25">
      <c r="A123" s="12">
        <f>+'Rainfall Data'!B122</f>
        <v>41862</v>
      </c>
      <c r="B123" s="26">
        <f>+'Rainfall Data'!C122</f>
        <v>7</v>
      </c>
      <c r="C123" s="26">
        <f t="shared" si="37"/>
        <v>907.1</v>
      </c>
      <c r="D123" s="25">
        <f t="shared" si="36"/>
        <v>2014008</v>
      </c>
    </row>
    <row r="124" spans="1:4" x14ac:dyDescent="0.25">
      <c r="A124" s="12">
        <f>+'Rainfall Data'!B123</f>
        <v>41863</v>
      </c>
      <c r="B124" s="26">
        <f>+'Rainfall Data'!C123</f>
        <v>5</v>
      </c>
      <c r="C124" s="26">
        <f t="shared" si="37"/>
        <v>912.1</v>
      </c>
      <c r="D124" s="25">
        <f t="shared" si="36"/>
        <v>2014008</v>
      </c>
    </row>
    <row r="125" spans="1:4" x14ac:dyDescent="0.25">
      <c r="A125" s="12">
        <f>+'Rainfall Data'!B124</f>
        <v>41864</v>
      </c>
      <c r="B125" s="26">
        <f>+'Rainfall Data'!C124</f>
        <v>19.5</v>
      </c>
      <c r="C125" s="26">
        <f t="shared" si="37"/>
        <v>931.6</v>
      </c>
      <c r="D125" s="25">
        <f t="shared" si="36"/>
        <v>2014008</v>
      </c>
    </row>
    <row r="126" spans="1:4" x14ac:dyDescent="0.25">
      <c r="A126" s="12">
        <f>+'Rainfall Data'!B125</f>
        <v>41865</v>
      </c>
      <c r="B126" s="26">
        <f>+'Rainfall Data'!C125</f>
        <v>4</v>
      </c>
      <c r="C126" s="26">
        <f t="shared" si="37"/>
        <v>935.6</v>
      </c>
      <c r="D126" s="25">
        <f t="shared" si="36"/>
        <v>2014008</v>
      </c>
    </row>
    <row r="127" spans="1:4" x14ac:dyDescent="0.25">
      <c r="A127" s="12">
        <f>+'Rainfall Data'!B126</f>
        <v>41866</v>
      </c>
      <c r="B127" s="26" t="str">
        <f>+'Rainfall Data'!C126</f>
        <v>T</v>
      </c>
      <c r="C127" s="26">
        <f t="shared" si="37"/>
        <v>935.6</v>
      </c>
      <c r="D127" s="25">
        <f t="shared" si="36"/>
        <v>2014008</v>
      </c>
    </row>
    <row r="128" spans="1:4" x14ac:dyDescent="0.25">
      <c r="A128" s="12">
        <f>+'Rainfall Data'!B127</f>
        <v>41867</v>
      </c>
      <c r="B128" s="26">
        <f>+'Rainfall Data'!C127</f>
        <v>26</v>
      </c>
      <c r="C128" s="26">
        <f t="shared" si="37"/>
        <v>961.6</v>
      </c>
      <c r="D128" s="25">
        <f t="shared" si="36"/>
        <v>2014008</v>
      </c>
    </row>
    <row r="129" spans="1:4" x14ac:dyDescent="0.25">
      <c r="A129" s="12">
        <f>+'Rainfall Data'!B128</f>
        <v>41868</v>
      </c>
      <c r="B129" s="26">
        <f>+'Rainfall Data'!C128</f>
        <v>21</v>
      </c>
      <c r="C129" s="26">
        <f t="shared" si="37"/>
        <v>982.6</v>
      </c>
      <c r="D129" s="25">
        <f t="shared" si="36"/>
        <v>2014008</v>
      </c>
    </row>
    <row r="130" spans="1:4" x14ac:dyDescent="0.25">
      <c r="A130" s="12">
        <f>+'Rainfall Data'!B129</f>
        <v>41869</v>
      </c>
      <c r="B130" s="26">
        <f>+'Rainfall Data'!C129</f>
        <v>0</v>
      </c>
      <c r="C130" s="26">
        <f t="shared" si="37"/>
        <v>982.6</v>
      </c>
      <c r="D130" s="25">
        <f t="shared" si="36"/>
        <v>2014008</v>
      </c>
    </row>
    <row r="131" spans="1:4" x14ac:dyDescent="0.25">
      <c r="A131" s="12">
        <f>+'Rainfall Data'!B130</f>
        <v>41870</v>
      </c>
      <c r="B131" s="26">
        <f>+'Rainfall Data'!C130</f>
        <v>0</v>
      </c>
      <c r="C131" s="26">
        <f t="shared" si="37"/>
        <v>982.6</v>
      </c>
      <c r="D131" s="25">
        <f t="shared" si="36"/>
        <v>2014008</v>
      </c>
    </row>
    <row r="132" spans="1:4" x14ac:dyDescent="0.25">
      <c r="A132" s="12">
        <f>+'Rainfall Data'!B131</f>
        <v>41871</v>
      </c>
      <c r="B132" s="26" t="str">
        <f>+'Rainfall Data'!C131</f>
        <v>T</v>
      </c>
      <c r="C132" s="26">
        <f t="shared" si="37"/>
        <v>982.6</v>
      </c>
      <c r="D132" s="25">
        <f t="shared" si="36"/>
        <v>2014008</v>
      </c>
    </row>
    <row r="133" spans="1:4" x14ac:dyDescent="0.25">
      <c r="A133" s="12">
        <f>+'Rainfall Data'!B132</f>
        <v>41872</v>
      </c>
      <c r="B133" s="26">
        <f>+'Rainfall Data'!C132</f>
        <v>59</v>
      </c>
      <c r="C133" s="26">
        <f t="shared" si="37"/>
        <v>1041.5999999999999</v>
      </c>
      <c r="D133" s="25">
        <f t="shared" si="36"/>
        <v>2014008</v>
      </c>
    </row>
    <row r="134" spans="1:4" x14ac:dyDescent="0.25">
      <c r="A134" s="12">
        <f>+'Rainfall Data'!B133</f>
        <v>41873</v>
      </c>
      <c r="B134" s="26" t="str">
        <f>+'Rainfall Data'!C133</f>
        <v>T</v>
      </c>
      <c r="C134" s="26">
        <f t="shared" si="37"/>
        <v>1041.5999999999999</v>
      </c>
      <c r="D134" s="25">
        <f t="shared" si="36"/>
        <v>2014008</v>
      </c>
    </row>
    <row r="135" spans="1:4" x14ac:dyDescent="0.25">
      <c r="A135" s="12">
        <f>+'Rainfall Data'!B134</f>
        <v>41874</v>
      </c>
      <c r="B135" s="26">
        <f>+'Rainfall Data'!C134</f>
        <v>11</v>
      </c>
      <c r="C135" s="26">
        <f t="shared" si="37"/>
        <v>1052.5999999999999</v>
      </c>
      <c r="D135" s="25">
        <f t="shared" si="36"/>
        <v>2014008</v>
      </c>
    </row>
    <row r="136" spans="1:4" x14ac:dyDescent="0.25">
      <c r="A136" s="12">
        <f>+'Rainfall Data'!B135</f>
        <v>41875</v>
      </c>
      <c r="B136" s="26">
        <f>+'Rainfall Data'!C135</f>
        <v>45</v>
      </c>
      <c r="C136" s="26">
        <f t="shared" si="37"/>
        <v>1097.5999999999999</v>
      </c>
      <c r="D136" s="25">
        <f t="shared" si="36"/>
        <v>2014008</v>
      </c>
    </row>
    <row r="137" spans="1:4" x14ac:dyDescent="0.25">
      <c r="A137" s="12">
        <f>+'Rainfall Data'!B136</f>
        <v>41876</v>
      </c>
      <c r="B137" s="26">
        <f>+'Rainfall Data'!C136</f>
        <v>3</v>
      </c>
      <c r="C137" s="26">
        <f t="shared" si="37"/>
        <v>1100.5999999999999</v>
      </c>
      <c r="D137" s="25">
        <f t="shared" si="36"/>
        <v>2014008</v>
      </c>
    </row>
    <row r="138" spans="1:4" x14ac:dyDescent="0.25">
      <c r="A138" s="12">
        <f>+'Rainfall Data'!B137</f>
        <v>41877</v>
      </c>
      <c r="B138" s="26">
        <f>+'Rainfall Data'!C137</f>
        <v>30</v>
      </c>
      <c r="C138" s="26">
        <f t="shared" si="37"/>
        <v>1130.5999999999999</v>
      </c>
      <c r="D138" s="25">
        <f t="shared" si="36"/>
        <v>2014008</v>
      </c>
    </row>
    <row r="139" spans="1:4" x14ac:dyDescent="0.25">
      <c r="A139" s="12">
        <f>+'Rainfall Data'!B138</f>
        <v>41878</v>
      </c>
      <c r="B139" s="26">
        <f>+'Rainfall Data'!C138</f>
        <v>4</v>
      </c>
      <c r="C139" s="26">
        <f t="shared" si="37"/>
        <v>1134.5999999999999</v>
      </c>
      <c r="D139" s="25">
        <f t="shared" si="36"/>
        <v>2014008</v>
      </c>
    </row>
    <row r="140" spans="1:4" x14ac:dyDescent="0.25">
      <c r="A140" s="12">
        <f>+'Rainfall Data'!B139</f>
        <v>41879</v>
      </c>
      <c r="B140" s="26">
        <f>+'Rainfall Data'!C139</f>
        <v>2</v>
      </c>
      <c r="C140" s="26">
        <f t="shared" si="37"/>
        <v>1136.5999999999999</v>
      </c>
      <c r="D140" s="25">
        <f t="shared" si="36"/>
        <v>2014008</v>
      </c>
    </row>
    <row r="141" spans="1:4" x14ac:dyDescent="0.25">
      <c r="A141" s="12">
        <f>+'Rainfall Data'!B140</f>
        <v>41880</v>
      </c>
      <c r="B141" s="26">
        <f>+'Rainfall Data'!C140</f>
        <v>0</v>
      </c>
      <c r="C141" s="26">
        <f t="shared" si="37"/>
        <v>1136.5999999999999</v>
      </c>
      <c r="D141" s="25">
        <f t="shared" si="36"/>
        <v>2014008</v>
      </c>
    </row>
    <row r="142" spans="1:4" x14ac:dyDescent="0.25">
      <c r="A142" s="12">
        <f>+'Rainfall Data'!B141</f>
        <v>41881</v>
      </c>
      <c r="B142" s="26">
        <f>+'Rainfall Data'!C141</f>
        <v>4</v>
      </c>
      <c r="C142" s="26">
        <f t="shared" si="37"/>
        <v>1140.5999999999999</v>
      </c>
      <c r="D142" s="25">
        <f t="shared" si="36"/>
        <v>2014008</v>
      </c>
    </row>
    <row r="143" spans="1:4" x14ac:dyDescent="0.25">
      <c r="A143" s="12">
        <f>+'Rainfall Data'!B142</f>
        <v>41882</v>
      </c>
      <c r="B143" s="26">
        <f>+'Rainfall Data'!C142</f>
        <v>2.5</v>
      </c>
      <c r="C143" s="26">
        <f t="shared" si="37"/>
        <v>1143.0999999999999</v>
      </c>
      <c r="D143" s="25">
        <f t="shared" si="36"/>
        <v>2014008</v>
      </c>
    </row>
    <row r="144" spans="1:4" x14ac:dyDescent="0.25">
      <c r="A144" s="12">
        <f>+'Rainfall Data'!B143</f>
        <v>41883</v>
      </c>
      <c r="B144" s="26">
        <f>+'Rainfall Data'!C143</f>
        <v>0</v>
      </c>
      <c r="C144" s="26">
        <f t="shared" si="37"/>
        <v>1143.0999999999999</v>
      </c>
      <c r="D144" s="25">
        <f t="shared" si="36"/>
        <v>2014009</v>
      </c>
    </row>
    <row r="145" spans="1:4" x14ac:dyDescent="0.25">
      <c r="A145" s="12">
        <f>+'Rainfall Data'!B144</f>
        <v>41884</v>
      </c>
      <c r="B145" s="26">
        <f>+'Rainfall Data'!C144</f>
        <v>4</v>
      </c>
      <c r="C145" s="26">
        <f t="shared" si="37"/>
        <v>1147.0999999999999</v>
      </c>
      <c r="D145" s="25">
        <f t="shared" si="36"/>
        <v>2014009</v>
      </c>
    </row>
    <row r="146" spans="1:4" x14ac:dyDescent="0.25">
      <c r="A146" s="12">
        <f>+'Rainfall Data'!B145</f>
        <v>41885</v>
      </c>
      <c r="B146" s="26">
        <f>+'Rainfall Data'!C145</f>
        <v>19</v>
      </c>
      <c r="C146" s="26">
        <f t="shared" si="37"/>
        <v>1166.0999999999999</v>
      </c>
      <c r="D146" s="25">
        <f t="shared" si="36"/>
        <v>2014009</v>
      </c>
    </row>
    <row r="147" spans="1:4" x14ac:dyDescent="0.25">
      <c r="A147" s="12">
        <f>+'Rainfall Data'!B146</f>
        <v>41886</v>
      </c>
      <c r="B147" s="26">
        <f>+'Rainfall Data'!C146</f>
        <v>0</v>
      </c>
      <c r="C147" s="26">
        <f t="shared" si="37"/>
        <v>1166.0999999999999</v>
      </c>
      <c r="D147" s="25">
        <f t="shared" si="36"/>
        <v>2014009</v>
      </c>
    </row>
    <row r="148" spans="1:4" x14ac:dyDescent="0.25">
      <c r="A148" s="12">
        <f>+'Rainfall Data'!B147</f>
        <v>41887</v>
      </c>
      <c r="B148" s="26">
        <f>+'Rainfall Data'!C147</f>
        <v>5</v>
      </c>
      <c r="C148" s="26">
        <f t="shared" si="37"/>
        <v>1171.0999999999999</v>
      </c>
      <c r="D148" s="25">
        <f t="shared" si="36"/>
        <v>2014009</v>
      </c>
    </row>
    <row r="149" spans="1:4" x14ac:dyDescent="0.25">
      <c r="A149" s="12">
        <f>+'Rainfall Data'!B148</f>
        <v>41888</v>
      </c>
      <c r="B149" s="26" t="str">
        <f>+'Rainfall Data'!C148</f>
        <v>T</v>
      </c>
      <c r="C149" s="26">
        <f t="shared" si="37"/>
        <v>1171.0999999999999</v>
      </c>
      <c r="D149" s="25">
        <f t="shared" si="36"/>
        <v>2014009</v>
      </c>
    </row>
    <row r="150" spans="1:4" x14ac:dyDescent="0.25">
      <c r="A150" s="12">
        <f>+'Rainfall Data'!B149</f>
        <v>41889</v>
      </c>
      <c r="B150" s="26">
        <f>+'Rainfall Data'!C149</f>
        <v>24</v>
      </c>
      <c r="C150" s="26">
        <f t="shared" si="37"/>
        <v>1195.0999999999999</v>
      </c>
      <c r="D150" s="25">
        <f t="shared" si="36"/>
        <v>2014009</v>
      </c>
    </row>
    <row r="151" spans="1:4" x14ac:dyDescent="0.25">
      <c r="A151" s="12">
        <f>+'Rainfall Data'!B150</f>
        <v>41890</v>
      </c>
      <c r="B151" s="26">
        <f>+'Rainfall Data'!C150</f>
        <v>25</v>
      </c>
      <c r="C151" s="26">
        <f t="shared" si="37"/>
        <v>1220.0999999999999</v>
      </c>
      <c r="D151" s="25">
        <f t="shared" si="36"/>
        <v>2014009</v>
      </c>
    </row>
    <row r="152" spans="1:4" x14ac:dyDescent="0.25">
      <c r="A152" s="12">
        <f>+'Rainfall Data'!B151</f>
        <v>41891</v>
      </c>
      <c r="B152" s="26">
        <f>+'Rainfall Data'!C151</f>
        <v>18</v>
      </c>
      <c r="C152" s="26">
        <f t="shared" si="37"/>
        <v>1238.0999999999999</v>
      </c>
      <c r="D152" s="25">
        <f t="shared" si="36"/>
        <v>2014009</v>
      </c>
    </row>
    <row r="153" spans="1:4" x14ac:dyDescent="0.25">
      <c r="A153" s="12">
        <f>+'Rainfall Data'!B152</f>
        <v>41892</v>
      </c>
      <c r="B153" s="26">
        <f>+'Rainfall Data'!C152</f>
        <v>25</v>
      </c>
      <c r="C153" s="26">
        <f t="shared" si="37"/>
        <v>1263.0999999999999</v>
      </c>
      <c r="D153" s="25">
        <f t="shared" si="36"/>
        <v>2014009</v>
      </c>
    </row>
    <row r="154" spans="1:4" x14ac:dyDescent="0.25">
      <c r="A154" s="12">
        <f>+'Rainfall Data'!B153</f>
        <v>41893</v>
      </c>
      <c r="B154" s="26">
        <f>+'Rainfall Data'!C153</f>
        <v>2</v>
      </c>
      <c r="C154" s="26">
        <f t="shared" si="37"/>
        <v>1265.0999999999999</v>
      </c>
      <c r="D154" s="25">
        <f t="shared" si="36"/>
        <v>2014009</v>
      </c>
    </row>
    <row r="155" spans="1:4" x14ac:dyDescent="0.25">
      <c r="A155" s="12">
        <f>+'Rainfall Data'!B154</f>
        <v>41894</v>
      </c>
      <c r="B155" s="26">
        <f>+'Rainfall Data'!C154</f>
        <v>10</v>
      </c>
      <c r="C155" s="26">
        <f t="shared" si="37"/>
        <v>1275.0999999999999</v>
      </c>
      <c r="D155" s="25">
        <f t="shared" si="36"/>
        <v>2014009</v>
      </c>
    </row>
    <row r="156" spans="1:4" x14ac:dyDescent="0.25">
      <c r="A156" s="12">
        <f>+'Rainfall Data'!B155</f>
        <v>41895</v>
      </c>
      <c r="B156" s="26">
        <f>+'Rainfall Data'!C155</f>
        <v>4</v>
      </c>
      <c r="C156" s="26">
        <f t="shared" si="37"/>
        <v>1279.0999999999999</v>
      </c>
      <c r="D156" s="25">
        <f t="shared" si="36"/>
        <v>2014009</v>
      </c>
    </row>
    <row r="157" spans="1:4" x14ac:dyDescent="0.25">
      <c r="A157" s="12">
        <f>+'Rainfall Data'!B156</f>
        <v>41896</v>
      </c>
      <c r="B157" s="26">
        <f>+'Rainfall Data'!C156</f>
        <v>25</v>
      </c>
      <c r="C157" s="26">
        <f t="shared" si="37"/>
        <v>1304.0999999999999</v>
      </c>
      <c r="D157" s="25">
        <f t="shared" si="36"/>
        <v>2014009</v>
      </c>
    </row>
    <row r="158" spans="1:4" x14ac:dyDescent="0.25">
      <c r="A158" s="12">
        <f>+'Rainfall Data'!B157</f>
        <v>41897</v>
      </c>
      <c r="B158" s="26" t="str">
        <f>+'Rainfall Data'!C157</f>
        <v>T</v>
      </c>
      <c r="C158" s="26">
        <f t="shared" si="37"/>
        <v>1304.0999999999999</v>
      </c>
      <c r="D158" s="25">
        <f t="shared" si="36"/>
        <v>2014009</v>
      </c>
    </row>
    <row r="159" spans="1:4" x14ac:dyDescent="0.25">
      <c r="A159" s="12">
        <f>+'Rainfall Data'!B158</f>
        <v>41898</v>
      </c>
      <c r="B159" s="26">
        <f>+'Rainfall Data'!C158</f>
        <v>10</v>
      </c>
      <c r="C159" s="26">
        <f t="shared" si="37"/>
        <v>1314.1</v>
      </c>
      <c r="D159" s="25">
        <f t="shared" si="36"/>
        <v>2014009</v>
      </c>
    </row>
    <row r="160" spans="1:4" x14ac:dyDescent="0.25">
      <c r="A160" s="12">
        <f>+'Rainfall Data'!B159</f>
        <v>41899</v>
      </c>
      <c r="B160" s="26">
        <f>+'Rainfall Data'!C159</f>
        <v>11</v>
      </c>
      <c r="C160" s="26">
        <f t="shared" si="37"/>
        <v>1325.1</v>
      </c>
      <c r="D160" s="25">
        <f t="shared" si="36"/>
        <v>2014009</v>
      </c>
    </row>
    <row r="161" spans="1:4" x14ac:dyDescent="0.25">
      <c r="A161" s="12">
        <f>+'Rainfall Data'!B160</f>
        <v>41900</v>
      </c>
      <c r="B161" s="26" t="str">
        <f>+'Rainfall Data'!C160</f>
        <v>T</v>
      </c>
      <c r="C161" s="26">
        <f t="shared" si="37"/>
        <v>1325.1</v>
      </c>
      <c r="D161" s="25">
        <f t="shared" si="36"/>
        <v>2014009</v>
      </c>
    </row>
    <row r="162" spans="1:4" x14ac:dyDescent="0.25">
      <c r="A162" s="12">
        <f>+'Rainfall Data'!B161</f>
        <v>41901</v>
      </c>
      <c r="B162" s="26">
        <f>+'Rainfall Data'!C161</f>
        <v>0</v>
      </c>
      <c r="C162" s="26">
        <f t="shared" si="37"/>
        <v>1325.1</v>
      </c>
      <c r="D162" s="25">
        <f t="shared" si="36"/>
        <v>2014009</v>
      </c>
    </row>
    <row r="163" spans="1:4" x14ac:dyDescent="0.25">
      <c r="A163" s="12">
        <f>+'Rainfall Data'!B162</f>
        <v>41902</v>
      </c>
      <c r="B163" s="26">
        <f>+'Rainfall Data'!C162</f>
        <v>0</v>
      </c>
      <c r="C163" s="26">
        <f t="shared" si="37"/>
        <v>1325.1</v>
      </c>
      <c r="D163" s="25">
        <f t="shared" si="36"/>
        <v>2014009</v>
      </c>
    </row>
    <row r="164" spans="1:4" x14ac:dyDescent="0.25">
      <c r="A164" s="12">
        <f>+'Rainfall Data'!B163</f>
        <v>41903</v>
      </c>
      <c r="B164" s="26">
        <f>+'Rainfall Data'!C163</f>
        <v>21</v>
      </c>
      <c r="C164" s="26">
        <f t="shared" si="37"/>
        <v>1346.1</v>
      </c>
      <c r="D164" s="25">
        <f t="shared" si="36"/>
        <v>2014009</v>
      </c>
    </row>
    <row r="165" spans="1:4" x14ac:dyDescent="0.25">
      <c r="A165" s="12">
        <f>+'Rainfall Data'!B164</f>
        <v>41904</v>
      </c>
      <c r="B165" s="26" t="str">
        <f>+'Rainfall Data'!C164</f>
        <v>T</v>
      </c>
      <c r="C165" s="26">
        <f t="shared" si="37"/>
        <v>1346.1</v>
      </c>
      <c r="D165" s="25">
        <f t="shared" ref="D165:D228" si="38">+YEAR(A165)*1000+MONTH(A165)</f>
        <v>2014009</v>
      </c>
    </row>
    <row r="166" spans="1:4" x14ac:dyDescent="0.25">
      <c r="A166" s="12">
        <f>+'Rainfall Data'!B165</f>
        <v>41905</v>
      </c>
      <c r="B166" s="26">
        <f>+'Rainfall Data'!C165</f>
        <v>0</v>
      </c>
      <c r="C166" s="26">
        <f t="shared" ref="C166:C229" si="39">IF(B166="nd",0, IF(B166="T",0,B166))+C165</f>
        <v>1346.1</v>
      </c>
      <c r="D166" s="25">
        <f t="shared" si="38"/>
        <v>2014009</v>
      </c>
    </row>
    <row r="167" spans="1:4" x14ac:dyDescent="0.25">
      <c r="A167" s="12">
        <f>+'Rainfall Data'!B166</f>
        <v>41906</v>
      </c>
      <c r="B167" s="26">
        <f>+'Rainfall Data'!C166</f>
        <v>20</v>
      </c>
      <c r="C167" s="26">
        <f t="shared" si="39"/>
        <v>1366.1</v>
      </c>
      <c r="D167" s="25">
        <f t="shared" si="38"/>
        <v>2014009</v>
      </c>
    </row>
    <row r="168" spans="1:4" x14ac:dyDescent="0.25">
      <c r="A168" s="12">
        <f>+'Rainfall Data'!B167</f>
        <v>41907</v>
      </c>
      <c r="B168" s="26">
        <f>+'Rainfall Data'!C167</f>
        <v>25</v>
      </c>
      <c r="C168" s="26">
        <f t="shared" si="39"/>
        <v>1391.1</v>
      </c>
      <c r="D168" s="25">
        <f t="shared" si="38"/>
        <v>2014009</v>
      </c>
    </row>
    <row r="169" spans="1:4" x14ac:dyDescent="0.25">
      <c r="A169" s="12">
        <f>+'Rainfall Data'!B168</f>
        <v>41908</v>
      </c>
      <c r="B169" s="26">
        <f>+'Rainfall Data'!C168</f>
        <v>18</v>
      </c>
      <c r="C169" s="26">
        <f t="shared" si="39"/>
        <v>1409.1</v>
      </c>
      <c r="D169" s="25">
        <f t="shared" si="38"/>
        <v>2014009</v>
      </c>
    </row>
    <row r="170" spans="1:4" x14ac:dyDescent="0.25">
      <c r="A170" s="12">
        <f>+'Rainfall Data'!B169</f>
        <v>41909</v>
      </c>
      <c r="B170" s="26">
        <f>+'Rainfall Data'!C169</f>
        <v>7</v>
      </c>
      <c r="C170" s="26">
        <f t="shared" si="39"/>
        <v>1416.1</v>
      </c>
      <c r="D170" s="25">
        <f t="shared" si="38"/>
        <v>2014009</v>
      </c>
    </row>
    <row r="171" spans="1:4" x14ac:dyDescent="0.25">
      <c r="A171" s="12">
        <f>+'Rainfall Data'!B170</f>
        <v>41910</v>
      </c>
      <c r="B171" s="26" t="str">
        <f>+'Rainfall Data'!C170</f>
        <v>T</v>
      </c>
      <c r="C171" s="26">
        <f t="shared" si="39"/>
        <v>1416.1</v>
      </c>
      <c r="D171" s="25">
        <f t="shared" si="38"/>
        <v>2014009</v>
      </c>
    </row>
    <row r="172" spans="1:4" x14ac:dyDescent="0.25">
      <c r="A172" s="12">
        <f>+'Rainfall Data'!B171</f>
        <v>41911</v>
      </c>
      <c r="B172" s="26">
        <f>+'Rainfall Data'!C171</f>
        <v>10</v>
      </c>
      <c r="C172" s="26">
        <f t="shared" si="39"/>
        <v>1426.1</v>
      </c>
      <c r="D172" s="25">
        <f t="shared" si="38"/>
        <v>2014009</v>
      </c>
    </row>
    <row r="173" spans="1:4" x14ac:dyDescent="0.25">
      <c r="A173" s="12">
        <f>+'Rainfall Data'!B172</f>
        <v>41912</v>
      </c>
      <c r="B173" s="26">
        <f>+'Rainfall Data'!C172</f>
        <v>15</v>
      </c>
      <c r="C173" s="26">
        <f t="shared" si="39"/>
        <v>1441.1</v>
      </c>
      <c r="D173" s="25">
        <f t="shared" si="38"/>
        <v>2014009</v>
      </c>
    </row>
    <row r="174" spans="1:4" x14ac:dyDescent="0.25">
      <c r="A174" s="12">
        <f>+'Rainfall Data'!B173</f>
        <v>41913</v>
      </c>
      <c r="B174" s="26">
        <f>+'Rainfall Data'!C173</f>
        <v>4</v>
      </c>
      <c r="C174" s="26">
        <f t="shared" si="39"/>
        <v>1445.1</v>
      </c>
      <c r="D174" s="25">
        <f t="shared" si="38"/>
        <v>2014010</v>
      </c>
    </row>
    <row r="175" spans="1:4" x14ac:dyDescent="0.25">
      <c r="A175" s="12">
        <f>+'Rainfall Data'!B174</f>
        <v>41914</v>
      </c>
      <c r="B175" s="26">
        <f>+'Rainfall Data'!C174</f>
        <v>0</v>
      </c>
      <c r="C175" s="26">
        <f t="shared" si="39"/>
        <v>1445.1</v>
      </c>
      <c r="D175" s="25">
        <f t="shared" si="38"/>
        <v>2014010</v>
      </c>
    </row>
    <row r="176" spans="1:4" x14ac:dyDescent="0.25">
      <c r="A176" s="12">
        <f>+'Rainfall Data'!B175</f>
        <v>41915</v>
      </c>
      <c r="B176" s="26">
        <f>+'Rainfall Data'!C175</f>
        <v>10</v>
      </c>
      <c r="C176" s="26">
        <f t="shared" si="39"/>
        <v>1455.1</v>
      </c>
      <c r="D176" s="25">
        <f t="shared" si="38"/>
        <v>2014010</v>
      </c>
    </row>
    <row r="177" spans="1:4" x14ac:dyDescent="0.25">
      <c r="A177" s="12">
        <f>+'Rainfall Data'!B176</f>
        <v>41916</v>
      </c>
      <c r="B177" s="26">
        <f>+'Rainfall Data'!C176</f>
        <v>12</v>
      </c>
      <c r="C177" s="26">
        <f t="shared" si="39"/>
        <v>1467.1</v>
      </c>
      <c r="D177" s="25">
        <f t="shared" si="38"/>
        <v>2014010</v>
      </c>
    </row>
    <row r="178" spans="1:4" x14ac:dyDescent="0.25">
      <c r="A178" s="12">
        <f>+'Rainfall Data'!B177</f>
        <v>41917</v>
      </c>
      <c r="B178" s="26">
        <f>+'Rainfall Data'!C177</f>
        <v>0</v>
      </c>
      <c r="C178" s="26">
        <f t="shared" si="39"/>
        <v>1467.1</v>
      </c>
      <c r="D178" s="25">
        <f t="shared" si="38"/>
        <v>2014010</v>
      </c>
    </row>
    <row r="179" spans="1:4" x14ac:dyDescent="0.25">
      <c r="A179" s="12">
        <f>+'Rainfall Data'!B178</f>
        <v>41918</v>
      </c>
      <c r="B179" s="26" t="str">
        <f>+'Rainfall Data'!C178</f>
        <v>T</v>
      </c>
      <c r="C179" s="26">
        <f t="shared" si="39"/>
        <v>1467.1</v>
      </c>
      <c r="D179" s="25">
        <f t="shared" si="38"/>
        <v>2014010</v>
      </c>
    </row>
    <row r="180" spans="1:4" x14ac:dyDescent="0.25">
      <c r="A180" s="12">
        <f>+'Rainfall Data'!B179</f>
        <v>41919</v>
      </c>
      <c r="B180" s="26">
        <f>+'Rainfall Data'!C179</f>
        <v>10</v>
      </c>
      <c r="C180" s="26">
        <f t="shared" si="39"/>
        <v>1477.1</v>
      </c>
      <c r="D180" s="25">
        <f t="shared" si="38"/>
        <v>2014010</v>
      </c>
    </row>
    <row r="181" spans="1:4" x14ac:dyDescent="0.25">
      <c r="A181" s="12">
        <f>+'Rainfall Data'!B180</f>
        <v>41920</v>
      </c>
      <c r="B181" s="26">
        <f>+'Rainfall Data'!C180</f>
        <v>6</v>
      </c>
      <c r="C181" s="26">
        <f t="shared" si="39"/>
        <v>1483.1</v>
      </c>
      <c r="D181" s="25">
        <f t="shared" si="38"/>
        <v>2014010</v>
      </c>
    </row>
    <row r="182" spans="1:4" x14ac:dyDescent="0.25">
      <c r="A182" s="12">
        <f>+'Rainfall Data'!B181</f>
        <v>41921</v>
      </c>
      <c r="B182" s="26">
        <f>+'Rainfall Data'!C181</f>
        <v>24</v>
      </c>
      <c r="C182" s="26">
        <f t="shared" si="39"/>
        <v>1507.1</v>
      </c>
      <c r="D182" s="25">
        <f t="shared" si="38"/>
        <v>2014010</v>
      </c>
    </row>
    <row r="183" spans="1:4" x14ac:dyDescent="0.25">
      <c r="A183" s="12">
        <f>+'Rainfall Data'!B182</f>
        <v>41922</v>
      </c>
      <c r="B183" s="26">
        <f>+'Rainfall Data'!C182</f>
        <v>0</v>
      </c>
      <c r="C183" s="26">
        <f t="shared" si="39"/>
        <v>1507.1</v>
      </c>
      <c r="D183" s="25">
        <f t="shared" si="38"/>
        <v>2014010</v>
      </c>
    </row>
    <row r="184" spans="1:4" x14ac:dyDescent="0.25">
      <c r="A184" s="12">
        <f>+'Rainfall Data'!B183</f>
        <v>41923</v>
      </c>
      <c r="B184" s="26" t="str">
        <f>+'Rainfall Data'!C183</f>
        <v>T</v>
      </c>
      <c r="C184" s="26">
        <f t="shared" si="39"/>
        <v>1507.1</v>
      </c>
      <c r="D184" s="25">
        <f t="shared" si="38"/>
        <v>2014010</v>
      </c>
    </row>
    <row r="185" spans="1:4" x14ac:dyDescent="0.25">
      <c r="A185" s="12">
        <f>+'Rainfall Data'!B184</f>
        <v>41924</v>
      </c>
      <c r="B185" s="26">
        <f>+'Rainfall Data'!C184</f>
        <v>10</v>
      </c>
      <c r="C185" s="26">
        <f t="shared" si="39"/>
        <v>1517.1</v>
      </c>
      <c r="D185" s="25">
        <f t="shared" si="38"/>
        <v>2014010</v>
      </c>
    </row>
    <row r="186" spans="1:4" x14ac:dyDescent="0.25">
      <c r="A186" s="12">
        <f>+'Rainfall Data'!B185</f>
        <v>41925</v>
      </c>
      <c r="B186" s="26">
        <f>+'Rainfall Data'!C185</f>
        <v>0</v>
      </c>
      <c r="C186" s="26">
        <f t="shared" si="39"/>
        <v>1517.1</v>
      </c>
      <c r="D186" s="25">
        <f t="shared" si="38"/>
        <v>2014010</v>
      </c>
    </row>
    <row r="187" spans="1:4" x14ac:dyDescent="0.25">
      <c r="A187" s="12">
        <f>+'Rainfall Data'!B186</f>
        <v>41926</v>
      </c>
      <c r="B187" s="26">
        <f>+'Rainfall Data'!C186</f>
        <v>25</v>
      </c>
      <c r="C187" s="26">
        <f t="shared" si="39"/>
        <v>1542.1</v>
      </c>
      <c r="D187" s="25">
        <f t="shared" si="38"/>
        <v>2014010</v>
      </c>
    </row>
    <row r="188" spans="1:4" x14ac:dyDescent="0.25">
      <c r="A188" s="12">
        <f>+'Rainfall Data'!B187</f>
        <v>41927</v>
      </c>
      <c r="B188" s="26">
        <f>+'Rainfall Data'!C187</f>
        <v>12</v>
      </c>
      <c r="C188" s="26">
        <f t="shared" si="39"/>
        <v>1554.1</v>
      </c>
      <c r="D188" s="25">
        <f t="shared" si="38"/>
        <v>2014010</v>
      </c>
    </row>
    <row r="189" spans="1:4" x14ac:dyDescent="0.25">
      <c r="A189" s="12">
        <f>+'Rainfall Data'!B188</f>
        <v>41928</v>
      </c>
      <c r="B189" s="26">
        <f>+'Rainfall Data'!C188</f>
        <v>10</v>
      </c>
      <c r="C189" s="26">
        <f t="shared" si="39"/>
        <v>1564.1</v>
      </c>
      <c r="D189" s="25">
        <f t="shared" si="38"/>
        <v>2014010</v>
      </c>
    </row>
    <row r="190" spans="1:4" x14ac:dyDescent="0.25">
      <c r="A190" s="12">
        <f>+'Rainfall Data'!B189</f>
        <v>41929</v>
      </c>
      <c r="B190" s="26" t="str">
        <f>+'Rainfall Data'!C189</f>
        <v>T</v>
      </c>
      <c r="C190" s="26">
        <f t="shared" si="39"/>
        <v>1564.1</v>
      </c>
      <c r="D190" s="25">
        <f t="shared" si="38"/>
        <v>2014010</v>
      </c>
    </row>
    <row r="191" spans="1:4" x14ac:dyDescent="0.25">
      <c r="A191" s="12">
        <f>+'Rainfall Data'!B190</f>
        <v>41930</v>
      </c>
      <c r="B191" s="26">
        <f>+'Rainfall Data'!C190</f>
        <v>0</v>
      </c>
      <c r="C191" s="26">
        <f t="shared" si="39"/>
        <v>1564.1</v>
      </c>
      <c r="D191" s="25">
        <f t="shared" si="38"/>
        <v>2014010</v>
      </c>
    </row>
    <row r="192" spans="1:4" x14ac:dyDescent="0.25">
      <c r="A192" s="12">
        <f>+'Rainfall Data'!B191</f>
        <v>41931</v>
      </c>
      <c r="B192" s="26">
        <f>+'Rainfall Data'!C191</f>
        <v>0</v>
      </c>
      <c r="C192" s="26">
        <f t="shared" si="39"/>
        <v>1564.1</v>
      </c>
      <c r="D192" s="25">
        <f t="shared" si="38"/>
        <v>2014010</v>
      </c>
    </row>
    <row r="193" spans="1:4" x14ac:dyDescent="0.25">
      <c r="A193" s="12">
        <f>+'Rainfall Data'!B192</f>
        <v>41932</v>
      </c>
      <c r="B193" s="26">
        <f>+'Rainfall Data'!C192</f>
        <v>0</v>
      </c>
      <c r="C193" s="26">
        <f t="shared" si="39"/>
        <v>1564.1</v>
      </c>
      <c r="D193" s="25">
        <f t="shared" si="38"/>
        <v>2014010</v>
      </c>
    </row>
    <row r="194" spans="1:4" x14ac:dyDescent="0.25">
      <c r="A194" s="12">
        <f>+'Rainfall Data'!B193</f>
        <v>41933</v>
      </c>
      <c r="B194" s="26">
        <f>+'Rainfall Data'!C193</f>
        <v>0</v>
      </c>
      <c r="C194" s="26">
        <f t="shared" si="39"/>
        <v>1564.1</v>
      </c>
      <c r="D194" s="25">
        <f t="shared" si="38"/>
        <v>2014010</v>
      </c>
    </row>
    <row r="195" spans="1:4" x14ac:dyDescent="0.25">
      <c r="A195" s="12">
        <f>+'Rainfall Data'!B194</f>
        <v>41934</v>
      </c>
      <c r="B195" s="26">
        <f>+'Rainfall Data'!C194</f>
        <v>10</v>
      </c>
      <c r="C195" s="26">
        <f t="shared" si="39"/>
        <v>1574.1</v>
      </c>
      <c r="D195" s="25">
        <f t="shared" si="38"/>
        <v>2014010</v>
      </c>
    </row>
    <row r="196" spans="1:4" x14ac:dyDescent="0.25">
      <c r="A196" s="12">
        <f>+'Rainfall Data'!B195</f>
        <v>41935</v>
      </c>
      <c r="B196" s="26">
        <f>+'Rainfall Data'!C195</f>
        <v>0</v>
      </c>
      <c r="C196" s="26">
        <f t="shared" si="39"/>
        <v>1574.1</v>
      </c>
      <c r="D196" s="25">
        <f t="shared" si="38"/>
        <v>2014010</v>
      </c>
    </row>
    <row r="197" spans="1:4" x14ac:dyDescent="0.25">
      <c r="A197" s="12">
        <f>+'Rainfall Data'!B196</f>
        <v>41936</v>
      </c>
      <c r="B197" s="26">
        <f>+'Rainfall Data'!C196</f>
        <v>0</v>
      </c>
      <c r="C197" s="26">
        <f t="shared" si="39"/>
        <v>1574.1</v>
      </c>
      <c r="D197" s="25">
        <f t="shared" si="38"/>
        <v>2014010</v>
      </c>
    </row>
    <row r="198" spans="1:4" x14ac:dyDescent="0.25">
      <c r="A198" s="12">
        <f>+'Rainfall Data'!B197</f>
        <v>41937</v>
      </c>
      <c r="B198" s="26">
        <f>+'Rainfall Data'!C197</f>
        <v>10</v>
      </c>
      <c r="C198" s="26">
        <f t="shared" si="39"/>
        <v>1584.1</v>
      </c>
      <c r="D198" s="25">
        <f t="shared" si="38"/>
        <v>2014010</v>
      </c>
    </row>
    <row r="199" spans="1:4" x14ac:dyDescent="0.25">
      <c r="A199" s="12">
        <f>+'Rainfall Data'!B198</f>
        <v>41938</v>
      </c>
      <c r="B199" s="26">
        <f>+'Rainfall Data'!C198</f>
        <v>54</v>
      </c>
      <c r="C199" s="26">
        <f t="shared" si="39"/>
        <v>1638.1</v>
      </c>
      <c r="D199" s="25">
        <f t="shared" si="38"/>
        <v>2014010</v>
      </c>
    </row>
    <row r="200" spans="1:4" x14ac:dyDescent="0.25">
      <c r="A200" s="12">
        <f>+'Rainfall Data'!B199</f>
        <v>41939</v>
      </c>
      <c r="B200" s="26">
        <f>+'Rainfall Data'!C199</f>
        <v>0</v>
      </c>
      <c r="C200" s="26">
        <f t="shared" si="39"/>
        <v>1638.1</v>
      </c>
      <c r="D200" s="25">
        <f t="shared" si="38"/>
        <v>2014010</v>
      </c>
    </row>
    <row r="201" spans="1:4" x14ac:dyDescent="0.25">
      <c r="A201" s="12">
        <f>+'Rainfall Data'!B200</f>
        <v>41940</v>
      </c>
      <c r="B201" s="26" t="str">
        <f>+'Rainfall Data'!C200</f>
        <v>T</v>
      </c>
      <c r="C201" s="26">
        <f t="shared" si="39"/>
        <v>1638.1</v>
      </c>
      <c r="D201" s="25">
        <f t="shared" si="38"/>
        <v>2014010</v>
      </c>
    </row>
    <row r="202" spans="1:4" x14ac:dyDescent="0.25">
      <c r="A202" s="12">
        <f>+'Rainfall Data'!B201</f>
        <v>41941</v>
      </c>
      <c r="B202" s="26">
        <f>+'Rainfall Data'!C201</f>
        <v>4</v>
      </c>
      <c r="C202" s="26">
        <f t="shared" si="39"/>
        <v>1642.1</v>
      </c>
      <c r="D202" s="25">
        <f t="shared" si="38"/>
        <v>2014010</v>
      </c>
    </row>
    <row r="203" spans="1:4" x14ac:dyDescent="0.25">
      <c r="A203" s="12">
        <f>+'Rainfall Data'!B202</f>
        <v>41942</v>
      </c>
      <c r="B203" s="26">
        <f>+'Rainfall Data'!C202</f>
        <v>6</v>
      </c>
      <c r="C203" s="26">
        <f t="shared" si="39"/>
        <v>1648.1</v>
      </c>
      <c r="D203" s="25">
        <f t="shared" si="38"/>
        <v>2014010</v>
      </c>
    </row>
    <row r="204" spans="1:4" x14ac:dyDescent="0.25">
      <c r="A204" s="12">
        <f>+'Rainfall Data'!B203</f>
        <v>41943</v>
      </c>
      <c r="B204" s="26">
        <f>+'Rainfall Data'!C203</f>
        <v>10</v>
      </c>
      <c r="C204" s="26">
        <f t="shared" si="39"/>
        <v>1658.1</v>
      </c>
      <c r="D204" s="25">
        <f t="shared" si="38"/>
        <v>2014010</v>
      </c>
    </row>
    <row r="205" spans="1:4" x14ac:dyDescent="0.25">
      <c r="A205" s="12">
        <f>+'Rainfall Data'!B204</f>
        <v>41944</v>
      </c>
      <c r="B205" s="26">
        <f>+'Rainfall Data'!C204</f>
        <v>6</v>
      </c>
      <c r="C205" s="26">
        <f t="shared" si="39"/>
        <v>1664.1</v>
      </c>
      <c r="D205" s="25">
        <f t="shared" si="38"/>
        <v>2014011</v>
      </c>
    </row>
    <row r="206" spans="1:4" x14ac:dyDescent="0.25">
      <c r="A206" s="12">
        <f>+'Rainfall Data'!B205</f>
        <v>41945</v>
      </c>
      <c r="B206" s="26" t="str">
        <f>+'Rainfall Data'!C205</f>
        <v>T</v>
      </c>
      <c r="C206" s="26">
        <f t="shared" si="39"/>
        <v>1664.1</v>
      </c>
      <c r="D206" s="25">
        <f t="shared" si="38"/>
        <v>2014011</v>
      </c>
    </row>
    <row r="207" spans="1:4" x14ac:dyDescent="0.25">
      <c r="A207" s="12">
        <f>+'Rainfall Data'!B206</f>
        <v>41946</v>
      </c>
      <c r="B207" s="26">
        <f>+'Rainfall Data'!C206</f>
        <v>11</v>
      </c>
      <c r="C207" s="26">
        <f t="shared" si="39"/>
        <v>1675.1</v>
      </c>
      <c r="D207" s="25">
        <f t="shared" si="38"/>
        <v>2014011</v>
      </c>
    </row>
    <row r="208" spans="1:4" x14ac:dyDescent="0.25">
      <c r="A208" s="12">
        <f>+'Rainfall Data'!B207</f>
        <v>41947</v>
      </c>
      <c r="B208" s="26">
        <f>+'Rainfall Data'!C207</f>
        <v>12</v>
      </c>
      <c r="C208" s="26">
        <f t="shared" si="39"/>
        <v>1687.1</v>
      </c>
      <c r="D208" s="25">
        <f t="shared" si="38"/>
        <v>2014011</v>
      </c>
    </row>
    <row r="209" spans="1:4" x14ac:dyDescent="0.25">
      <c r="A209" s="12">
        <f>+'Rainfall Data'!B208</f>
        <v>41948</v>
      </c>
      <c r="B209" s="26">
        <f>+'Rainfall Data'!C208</f>
        <v>0</v>
      </c>
      <c r="C209" s="26">
        <f t="shared" si="39"/>
        <v>1687.1</v>
      </c>
      <c r="D209" s="25">
        <f t="shared" si="38"/>
        <v>2014011</v>
      </c>
    </row>
    <row r="210" spans="1:4" x14ac:dyDescent="0.25">
      <c r="A210" s="12">
        <f>+'Rainfall Data'!B209</f>
        <v>41949</v>
      </c>
      <c r="B210" s="26">
        <f>+'Rainfall Data'!C209</f>
        <v>0</v>
      </c>
      <c r="C210" s="26">
        <f t="shared" si="39"/>
        <v>1687.1</v>
      </c>
      <c r="D210" s="25">
        <f t="shared" si="38"/>
        <v>2014011</v>
      </c>
    </row>
    <row r="211" spans="1:4" x14ac:dyDescent="0.25">
      <c r="A211" s="12">
        <f>+'Rainfall Data'!B210</f>
        <v>41950</v>
      </c>
      <c r="B211" s="26">
        <f>+'Rainfall Data'!C210</f>
        <v>1</v>
      </c>
      <c r="C211" s="26">
        <f t="shared" si="39"/>
        <v>1688.1</v>
      </c>
      <c r="D211" s="25">
        <f t="shared" si="38"/>
        <v>2014011</v>
      </c>
    </row>
    <row r="212" spans="1:4" x14ac:dyDescent="0.25">
      <c r="A212" s="12">
        <f>+'Rainfall Data'!B211</f>
        <v>41951</v>
      </c>
      <c r="B212" s="26">
        <f>+'Rainfall Data'!C211</f>
        <v>0</v>
      </c>
      <c r="C212" s="26">
        <f t="shared" si="39"/>
        <v>1688.1</v>
      </c>
      <c r="D212" s="25">
        <f t="shared" si="38"/>
        <v>2014011</v>
      </c>
    </row>
    <row r="213" spans="1:4" x14ac:dyDescent="0.25">
      <c r="A213" s="12">
        <f>+'Rainfall Data'!B212</f>
        <v>41952</v>
      </c>
      <c r="B213" s="26">
        <f>+'Rainfall Data'!C212</f>
        <v>0</v>
      </c>
      <c r="C213" s="26">
        <f t="shared" si="39"/>
        <v>1688.1</v>
      </c>
      <c r="D213" s="25">
        <f t="shared" si="38"/>
        <v>2014011</v>
      </c>
    </row>
    <row r="214" spans="1:4" x14ac:dyDescent="0.25">
      <c r="A214" s="12">
        <f>+'Rainfall Data'!B213</f>
        <v>41953</v>
      </c>
      <c r="B214" s="26">
        <f>+'Rainfall Data'!C213</f>
        <v>0</v>
      </c>
      <c r="C214" s="26">
        <f t="shared" si="39"/>
        <v>1688.1</v>
      </c>
      <c r="D214" s="25">
        <f t="shared" si="38"/>
        <v>2014011</v>
      </c>
    </row>
    <row r="215" spans="1:4" x14ac:dyDescent="0.25">
      <c r="A215" s="12">
        <f>+'Rainfall Data'!B214</f>
        <v>41954</v>
      </c>
      <c r="B215" s="26">
        <f>+'Rainfall Data'!C214</f>
        <v>0</v>
      </c>
      <c r="C215" s="26">
        <f t="shared" si="39"/>
        <v>1688.1</v>
      </c>
      <c r="D215" s="25">
        <f t="shared" si="38"/>
        <v>2014011</v>
      </c>
    </row>
    <row r="216" spans="1:4" x14ac:dyDescent="0.25">
      <c r="A216" s="12">
        <f>+'Rainfall Data'!B215</f>
        <v>41955</v>
      </c>
      <c r="B216" s="26">
        <f>+'Rainfall Data'!C215</f>
        <v>0</v>
      </c>
      <c r="C216" s="26">
        <f t="shared" si="39"/>
        <v>1688.1</v>
      </c>
      <c r="D216" s="25">
        <f t="shared" si="38"/>
        <v>2014011</v>
      </c>
    </row>
    <row r="217" spans="1:4" x14ac:dyDescent="0.25">
      <c r="A217" s="12">
        <f>+'Rainfall Data'!B216</f>
        <v>41956</v>
      </c>
      <c r="B217" s="26">
        <f>+'Rainfall Data'!C216</f>
        <v>0</v>
      </c>
      <c r="C217" s="26">
        <f t="shared" si="39"/>
        <v>1688.1</v>
      </c>
      <c r="D217" s="25">
        <f t="shared" si="38"/>
        <v>2014011</v>
      </c>
    </row>
    <row r="218" spans="1:4" x14ac:dyDescent="0.25">
      <c r="A218" s="12">
        <f>+'Rainfall Data'!B217</f>
        <v>41957</v>
      </c>
      <c r="B218" s="26" t="str">
        <f>+'Rainfall Data'!C217</f>
        <v>T</v>
      </c>
      <c r="C218" s="26">
        <f t="shared" si="39"/>
        <v>1688.1</v>
      </c>
      <c r="D218" s="25">
        <f t="shared" si="38"/>
        <v>2014011</v>
      </c>
    </row>
    <row r="219" spans="1:4" x14ac:dyDescent="0.25">
      <c r="A219" s="12">
        <f>+'Rainfall Data'!B218</f>
        <v>41958</v>
      </c>
      <c r="B219" s="26">
        <f>+'Rainfall Data'!C218</f>
        <v>13.5</v>
      </c>
      <c r="C219" s="26">
        <f t="shared" si="39"/>
        <v>1701.6</v>
      </c>
      <c r="D219" s="25">
        <f t="shared" si="38"/>
        <v>2014011</v>
      </c>
    </row>
    <row r="220" spans="1:4" x14ac:dyDescent="0.25">
      <c r="A220" s="12">
        <f>+'Rainfall Data'!B219</f>
        <v>41959</v>
      </c>
      <c r="B220" s="26">
        <f>+'Rainfall Data'!C219</f>
        <v>0</v>
      </c>
      <c r="C220" s="26">
        <f t="shared" si="39"/>
        <v>1701.6</v>
      </c>
      <c r="D220" s="25">
        <f t="shared" si="38"/>
        <v>2014011</v>
      </c>
    </row>
    <row r="221" spans="1:4" x14ac:dyDescent="0.25">
      <c r="A221" s="12">
        <f>+'Rainfall Data'!B220</f>
        <v>41960</v>
      </c>
      <c r="B221" s="26">
        <f>+'Rainfall Data'!C220</f>
        <v>0</v>
      </c>
      <c r="C221" s="26">
        <f t="shared" si="39"/>
        <v>1701.6</v>
      </c>
      <c r="D221" s="25">
        <f t="shared" si="38"/>
        <v>2014011</v>
      </c>
    </row>
    <row r="222" spans="1:4" x14ac:dyDescent="0.25">
      <c r="A222" s="12">
        <f>+'Rainfall Data'!B221</f>
        <v>41961</v>
      </c>
      <c r="B222" s="26">
        <f>+'Rainfall Data'!C221</f>
        <v>0</v>
      </c>
      <c r="C222" s="26">
        <f t="shared" si="39"/>
        <v>1701.6</v>
      </c>
      <c r="D222" s="25">
        <f t="shared" si="38"/>
        <v>2014011</v>
      </c>
    </row>
    <row r="223" spans="1:4" x14ac:dyDescent="0.25">
      <c r="A223" s="12">
        <f>+'Rainfall Data'!B222</f>
        <v>41962</v>
      </c>
      <c r="B223" s="26">
        <f>+'Rainfall Data'!C222</f>
        <v>25</v>
      </c>
      <c r="C223" s="26">
        <f t="shared" si="39"/>
        <v>1726.6</v>
      </c>
      <c r="D223" s="25">
        <f t="shared" si="38"/>
        <v>2014011</v>
      </c>
    </row>
    <row r="224" spans="1:4" x14ac:dyDescent="0.25">
      <c r="A224" s="12">
        <f>+'Rainfall Data'!B223</f>
        <v>41963</v>
      </c>
      <c r="B224" s="26">
        <f>+'Rainfall Data'!C223</f>
        <v>0</v>
      </c>
      <c r="C224" s="26">
        <f t="shared" si="39"/>
        <v>1726.6</v>
      </c>
      <c r="D224" s="25">
        <f t="shared" si="38"/>
        <v>2014011</v>
      </c>
    </row>
    <row r="225" spans="1:4" x14ac:dyDescent="0.25">
      <c r="A225" s="12">
        <f>+'Rainfall Data'!B224</f>
        <v>41964</v>
      </c>
      <c r="B225" s="26">
        <f>+'Rainfall Data'!C224</f>
        <v>0</v>
      </c>
      <c r="C225" s="26">
        <f t="shared" si="39"/>
        <v>1726.6</v>
      </c>
      <c r="D225" s="25">
        <f t="shared" si="38"/>
        <v>2014011</v>
      </c>
    </row>
    <row r="226" spans="1:4" x14ac:dyDescent="0.25">
      <c r="A226" s="12">
        <f>+'Rainfall Data'!B225</f>
        <v>41965</v>
      </c>
      <c r="B226" s="26">
        <f>+'Rainfall Data'!C225</f>
        <v>0</v>
      </c>
      <c r="C226" s="26">
        <f t="shared" si="39"/>
        <v>1726.6</v>
      </c>
      <c r="D226" s="25">
        <f t="shared" si="38"/>
        <v>2014011</v>
      </c>
    </row>
    <row r="227" spans="1:4" x14ac:dyDescent="0.25">
      <c r="A227" s="12">
        <f>+'Rainfall Data'!B226</f>
        <v>41966</v>
      </c>
      <c r="B227" s="26">
        <f>+'Rainfall Data'!C226</f>
        <v>3</v>
      </c>
      <c r="C227" s="26">
        <f t="shared" si="39"/>
        <v>1729.6</v>
      </c>
      <c r="D227" s="25">
        <f t="shared" si="38"/>
        <v>2014011</v>
      </c>
    </row>
    <row r="228" spans="1:4" x14ac:dyDescent="0.25">
      <c r="A228" s="12">
        <f>+'Rainfall Data'!B227</f>
        <v>41967</v>
      </c>
      <c r="B228" s="26">
        <f>+'Rainfall Data'!C227</f>
        <v>0</v>
      </c>
      <c r="C228" s="26">
        <f t="shared" si="39"/>
        <v>1729.6</v>
      </c>
      <c r="D228" s="25">
        <f t="shared" si="38"/>
        <v>2014011</v>
      </c>
    </row>
    <row r="229" spans="1:4" x14ac:dyDescent="0.25">
      <c r="A229" s="12">
        <f>+'Rainfall Data'!B228</f>
        <v>41968</v>
      </c>
      <c r="B229" s="26">
        <f>+'Rainfall Data'!C228</f>
        <v>0</v>
      </c>
      <c r="C229" s="26">
        <f t="shared" si="39"/>
        <v>1729.6</v>
      </c>
      <c r="D229" s="25">
        <f t="shared" ref="D229:D234" si="40">+YEAR(A229)*1000+MONTH(A229)</f>
        <v>2014011</v>
      </c>
    </row>
    <row r="230" spans="1:4" x14ac:dyDescent="0.25">
      <c r="A230" s="12">
        <f>+'Rainfall Data'!B229</f>
        <v>41969</v>
      </c>
      <c r="B230" s="26">
        <f>+'Rainfall Data'!C229</f>
        <v>0</v>
      </c>
      <c r="C230" s="26">
        <f t="shared" ref="C230:C234" si="41">IF(B230="nd",0, IF(B230="T",0,B230))+C229</f>
        <v>1729.6</v>
      </c>
      <c r="D230" s="25">
        <f t="shared" si="40"/>
        <v>2014011</v>
      </c>
    </row>
    <row r="231" spans="1:4" x14ac:dyDescent="0.25">
      <c r="A231" s="12">
        <f>+'Rainfall Data'!B230</f>
        <v>41970</v>
      </c>
      <c r="B231" s="26">
        <f>+'Rainfall Data'!C230</f>
        <v>0</v>
      </c>
      <c r="C231" s="26">
        <f t="shared" si="41"/>
        <v>1729.6</v>
      </c>
      <c r="D231" s="25">
        <f t="shared" si="40"/>
        <v>2014011</v>
      </c>
    </row>
    <row r="232" spans="1:4" x14ac:dyDescent="0.25">
      <c r="A232" s="12">
        <f>+'Rainfall Data'!B231</f>
        <v>41971</v>
      </c>
      <c r="B232" s="26">
        <f>+'Rainfall Data'!C231</f>
        <v>0</v>
      </c>
      <c r="C232" s="26">
        <f t="shared" si="41"/>
        <v>1729.6</v>
      </c>
      <c r="D232" s="25">
        <f t="shared" si="40"/>
        <v>2014011</v>
      </c>
    </row>
    <row r="233" spans="1:4" x14ac:dyDescent="0.25">
      <c r="A233" s="12">
        <f>+'Rainfall Data'!B232</f>
        <v>41972</v>
      </c>
      <c r="B233" s="26">
        <f>+'Rainfall Data'!C232</f>
        <v>0</v>
      </c>
      <c r="C233" s="26">
        <f t="shared" si="41"/>
        <v>1729.6</v>
      </c>
      <c r="D233" s="25">
        <f t="shared" si="40"/>
        <v>2014011</v>
      </c>
    </row>
    <row r="234" spans="1:4" x14ac:dyDescent="0.25">
      <c r="A234" s="12">
        <f>+'Rainfall Data'!B233</f>
        <v>41973</v>
      </c>
      <c r="B234" s="26">
        <f>+'Rainfall Data'!C233</f>
        <v>2.5</v>
      </c>
      <c r="C234" s="26">
        <f t="shared" si="41"/>
        <v>1732.1</v>
      </c>
      <c r="D234" s="25">
        <f t="shared" si="40"/>
        <v>2014011</v>
      </c>
    </row>
    <row r="235" spans="1:4" x14ac:dyDescent="0.25">
      <c r="A235" s="12">
        <f>+'Rainfall Data'!B234</f>
        <v>41974</v>
      </c>
      <c r="B235" s="26">
        <f>+'Rainfall Data'!C234</f>
        <v>0</v>
      </c>
      <c r="C235" s="26">
        <f t="shared" ref="C235:C240" si="42">IF(B235="nd",0, IF(B235="T",0,B235))+C234</f>
        <v>1732.1</v>
      </c>
      <c r="D235" s="25">
        <f t="shared" ref="D235:D240" si="43">+YEAR(A235)*1000+MONTH(A235)</f>
        <v>2014012</v>
      </c>
    </row>
    <row r="236" spans="1:4" x14ac:dyDescent="0.25">
      <c r="A236" s="12">
        <f>+'Rainfall Data'!B235</f>
        <v>41975</v>
      </c>
      <c r="B236" s="26">
        <f>+'Rainfall Data'!C235</f>
        <v>0</v>
      </c>
      <c r="C236" s="26">
        <f t="shared" si="42"/>
        <v>1732.1</v>
      </c>
      <c r="D236" s="25">
        <f t="shared" si="43"/>
        <v>2014012</v>
      </c>
    </row>
    <row r="237" spans="1:4" x14ac:dyDescent="0.25">
      <c r="A237" s="12">
        <f>+'Rainfall Data'!B236</f>
        <v>41976</v>
      </c>
      <c r="B237" s="26">
        <f>+'Rainfall Data'!C236</f>
        <v>0</v>
      </c>
      <c r="C237" s="26">
        <f t="shared" si="42"/>
        <v>1732.1</v>
      </c>
      <c r="D237" s="25">
        <f t="shared" si="43"/>
        <v>2014012</v>
      </c>
    </row>
    <row r="238" spans="1:4" x14ac:dyDescent="0.25">
      <c r="A238" s="12">
        <f>+'Rainfall Data'!B237</f>
        <v>41977</v>
      </c>
      <c r="B238" s="26">
        <f>+'Rainfall Data'!C237</f>
        <v>0</v>
      </c>
      <c r="C238" s="26">
        <f t="shared" si="42"/>
        <v>1732.1</v>
      </c>
      <c r="D238" s="25">
        <f t="shared" si="43"/>
        <v>2014012</v>
      </c>
    </row>
    <row r="239" spans="1:4" x14ac:dyDescent="0.25">
      <c r="A239" s="12">
        <f>+'Rainfall Data'!B238</f>
        <v>41978</v>
      </c>
      <c r="B239" s="26">
        <f>+'Rainfall Data'!C238</f>
        <v>0</v>
      </c>
      <c r="C239" s="26">
        <f t="shared" si="42"/>
        <v>1732.1</v>
      </c>
      <c r="D239" s="25">
        <f t="shared" si="43"/>
        <v>2014012</v>
      </c>
    </row>
    <row r="240" spans="1:4" x14ac:dyDescent="0.25">
      <c r="A240" s="12">
        <f>+'Rainfall Data'!B239</f>
        <v>41979</v>
      </c>
      <c r="B240" s="26">
        <f>+'Rainfall Data'!C239</f>
        <v>0</v>
      </c>
      <c r="C240" s="26">
        <f t="shared" si="42"/>
        <v>1732.1</v>
      </c>
      <c r="D240" s="25">
        <f t="shared" si="43"/>
        <v>2014012</v>
      </c>
    </row>
    <row r="241" spans="1:4" x14ac:dyDescent="0.25">
      <c r="A241" s="12">
        <f>+'Rainfall Data'!B240</f>
        <v>41980</v>
      </c>
      <c r="B241" s="26">
        <f>+'Rainfall Data'!C240</f>
        <v>0</v>
      </c>
      <c r="C241" s="26">
        <f t="shared" ref="C241:C304" si="44">IF(B241="nd",0, IF(B241="T",0,B241))+C240</f>
        <v>1732.1</v>
      </c>
      <c r="D241" s="25">
        <f t="shared" ref="D241:D304" si="45">+YEAR(A241)*1000+MONTH(A241)</f>
        <v>2014012</v>
      </c>
    </row>
    <row r="242" spans="1:4" x14ac:dyDescent="0.25">
      <c r="A242" s="12">
        <f>+'Rainfall Data'!B241</f>
        <v>41981</v>
      </c>
      <c r="B242" s="26">
        <f>+'Rainfall Data'!C241</f>
        <v>0</v>
      </c>
      <c r="C242" s="26">
        <f t="shared" si="44"/>
        <v>1732.1</v>
      </c>
      <c r="D242" s="25">
        <f t="shared" si="45"/>
        <v>2014012</v>
      </c>
    </row>
    <row r="243" spans="1:4" x14ac:dyDescent="0.25">
      <c r="A243" s="12">
        <f>+'Rainfall Data'!B242</f>
        <v>41982</v>
      </c>
      <c r="B243" s="26">
        <f>+'Rainfall Data'!C242</f>
        <v>0</v>
      </c>
      <c r="C243" s="26">
        <f t="shared" si="44"/>
        <v>1732.1</v>
      </c>
      <c r="D243" s="25">
        <f t="shared" si="45"/>
        <v>2014012</v>
      </c>
    </row>
    <row r="244" spans="1:4" x14ac:dyDescent="0.25">
      <c r="A244" s="12">
        <f>+'Rainfall Data'!B243</f>
        <v>41983</v>
      </c>
      <c r="B244" s="26">
        <f>+'Rainfall Data'!C243</f>
        <v>0</v>
      </c>
      <c r="C244" s="26">
        <f t="shared" si="44"/>
        <v>1732.1</v>
      </c>
      <c r="D244" s="25">
        <f t="shared" si="45"/>
        <v>2014012</v>
      </c>
    </row>
    <row r="245" spans="1:4" x14ac:dyDescent="0.25">
      <c r="A245" s="12">
        <f>+'Rainfall Data'!B244</f>
        <v>41984</v>
      </c>
      <c r="B245" s="26">
        <f>+'Rainfall Data'!C244</f>
        <v>0</v>
      </c>
      <c r="C245" s="26">
        <f t="shared" si="44"/>
        <v>1732.1</v>
      </c>
      <c r="D245" s="25">
        <f t="shared" si="45"/>
        <v>2014012</v>
      </c>
    </row>
    <row r="246" spans="1:4" x14ac:dyDescent="0.25">
      <c r="A246" s="12">
        <f>+'Rainfall Data'!B245</f>
        <v>41985</v>
      </c>
      <c r="B246" s="26">
        <f>+'Rainfall Data'!C245</f>
        <v>0</v>
      </c>
      <c r="C246" s="26">
        <f t="shared" si="44"/>
        <v>1732.1</v>
      </c>
      <c r="D246" s="25">
        <f t="shared" si="45"/>
        <v>2014012</v>
      </c>
    </row>
    <row r="247" spans="1:4" x14ac:dyDescent="0.25">
      <c r="A247" s="12">
        <f>+'Rainfall Data'!B246</f>
        <v>41986</v>
      </c>
      <c r="B247" s="26">
        <f>+'Rainfall Data'!C246</f>
        <v>0</v>
      </c>
      <c r="C247" s="26">
        <f t="shared" si="44"/>
        <v>1732.1</v>
      </c>
      <c r="D247" s="25">
        <f t="shared" si="45"/>
        <v>2014012</v>
      </c>
    </row>
    <row r="248" spans="1:4" x14ac:dyDescent="0.25">
      <c r="A248" s="12">
        <f>+'Rainfall Data'!B247</f>
        <v>41987</v>
      </c>
      <c r="B248" s="26">
        <f>+'Rainfall Data'!C247</f>
        <v>0</v>
      </c>
      <c r="C248" s="26">
        <f t="shared" si="44"/>
        <v>1732.1</v>
      </c>
      <c r="D248" s="25">
        <f t="shared" si="45"/>
        <v>2014012</v>
      </c>
    </row>
    <row r="249" spans="1:4" x14ac:dyDescent="0.25">
      <c r="A249" s="12">
        <f>+'Rainfall Data'!B248</f>
        <v>41988</v>
      </c>
      <c r="B249" s="26">
        <f>+'Rainfall Data'!C248</f>
        <v>0</v>
      </c>
      <c r="C249" s="26">
        <f t="shared" si="44"/>
        <v>1732.1</v>
      </c>
      <c r="D249" s="25">
        <f t="shared" si="45"/>
        <v>2014012</v>
      </c>
    </row>
    <row r="250" spans="1:4" x14ac:dyDescent="0.25">
      <c r="A250" s="12">
        <f>+'Rainfall Data'!B249</f>
        <v>41989</v>
      </c>
      <c r="B250" s="26">
        <f>+'Rainfall Data'!C249</f>
        <v>0</v>
      </c>
      <c r="C250" s="26">
        <f t="shared" si="44"/>
        <v>1732.1</v>
      </c>
      <c r="D250" s="25">
        <f t="shared" si="45"/>
        <v>2014012</v>
      </c>
    </row>
    <row r="251" spans="1:4" x14ac:dyDescent="0.25">
      <c r="A251" s="12">
        <f>+'Rainfall Data'!B250</f>
        <v>41990</v>
      </c>
      <c r="B251" s="26">
        <f>+'Rainfall Data'!C250</f>
        <v>0</v>
      </c>
      <c r="C251" s="26">
        <f t="shared" si="44"/>
        <v>1732.1</v>
      </c>
      <c r="D251" s="25">
        <f t="shared" si="45"/>
        <v>2014012</v>
      </c>
    </row>
    <row r="252" spans="1:4" x14ac:dyDescent="0.25">
      <c r="A252" s="12">
        <f>+'Rainfall Data'!B251</f>
        <v>41991</v>
      </c>
      <c r="B252" s="26">
        <f>+'Rainfall Data'!C251</f>
        <v>0</v>
      </c>
      <c r="C252" s="26">
        <f t="shared" si="44"/>
        <v>1732.1</v>
      </c>
      <c r="D252" s="25">
        <f t="shared" si="45"/>
        <v>2014012</v>
      </c>
    </row>
    <row r="253" spans="1:4" x14ac:dyDescent="0.25">
      <c r="A253" s="12">
        <f>+'Rainfall Data'!B252</f>
        <v>41992</v>
      </c>
      <c r="B253" s="26">
        <f>+'Rainfall Data'!C252</f>
        <v>0</v>
      </c>
      <c r="C253" s="26">
        <f t="shared" si="44"/>
        <v>1732.1</v>
      </c>
      <c r="D253" s="25">
        <f t="shared" si="45"/>
        <v>2014012</v>
      </c>
    </row>
    <row r="254" spans="1:4" x14ac:dyDescent="0.25">
      <c r="A254" s="12">
        <f>+'Rainfall Data'!B253</f>
        <v>41993</v>
      </c>
      <c r="B254" s="26">
        <f>+'Rainfall Data'!C253</f>
        <v>0</v>
      </c>
      <c r="C254" s="26">
        <f t="shared" si="44"/>
        <v>1732.1</v>
      </c>
      <c r="D254" s="25">
        <f t="shared" si="45"/>
        <v>2014012</v>
      </c>
    </row>
    <row r="255" spans="1:4" x14ac:dyDescent="0.25">
      <c r="A255" s="12">
        <f>+'Rainfall Data'!B254</f>
        <v>41994</v>
      </c>
      <c r="B255" s="26">
        <f>+'Rainfall Data'!C254</f>
        <v>0</v>
      </c>
      <c r="C255" s="26">
        <f t="shared" si="44"/>
        <v>1732.1</v>
      </c>
      <c r="D255" s="25">
        <f t="shared" si="45"/>
        <v>2014012</v>
      </c>
    </row>
    <row r="256" spans="1:4" x14ac:dyDescent="0.25">
      <c r="A256" s="12">
        <f>+'Rainfall Data'!B255</f>
        <v>41995</v>
      </c>
      <c r="B256" s="26">
        <f>+'Rainfall Data'!C255</f>
        <v>0</v>
      </c>
      <c r="C256" s="26">
        <f t="shared" si="44"/>
        <v>1732.1</v>
      </c>
      <c r="D256" s="25">
        <f t="shared" si="45"/>
        <v>2014012</v>
      </c>
    </row>
    <row r="257" spans="1:4" x14ac:dyDescent="0.25">
      <c r="A257" s="12">
        <f>+'Rainfall Data'!B256</f>
        <v>41996</v>
      </c>
      <c r="B257" s="26">
        <f>+'Rainfall Data'!C256</f>
        <v>0</v>
      </c>
      <c r="C257" s="26">
        <f t="shared" si="44"/>
        <v>1732.1</v>
      </c>
      <c r="D257" s="25">
        <f t="shared" si="45"/>
        <v>2014012</v>
      </c>
    </row>
    <row r="258" spans="1:4" x14ac:dyDescent="0.25">
      <c r="A258" s="12">
        <f>+'Rainfall Data'!B257</f>
        <v>41997</v>
      </c>
      <c r="B258" s="26">
        <f>+'Rainfall Data'!C257</f>
        <v>0</v>
      </c>
      <c r="C258" s="26">
        <f t="shared" si="44"/>
        <v>1732.1</v>
      </c>
      <c r="D258" s="25">
        <f t="shared" si="45"/>
        <v>2014012</v>
      </c>
    </row>
    <row r="259" spans="1:4" x14ac:dyDescent="0.25">
      <c r="A259" s="12">
        <f>+'Rainfall Data'!B258</f>
        <v>41998</v>
      </c>
      <c r="B259" s="26">
        <f>+'Rainfall Data'!C258</f>
        <v>0</v>
      </c>
      <c r="C259" s="26">
        <f t="shared" si="44"/>
        <v>1732.1</v>
      </c>
      <c r="D259" s="25">
        <f t="shared" si="45"/>
        <v>2014012</v>
      </c>
    </row>
    <row r="260" spans="1:4" x14ac:dyDescent="0.25">
      <c r="A260" s="12">
        <f>+'Rainfall Data'!B259</f>
        <v>41999</v>
      </c>
      <c r="B260" s="26">
        <f>+'Rainfall Data'!C259</f>
        <v>0</v>
      </c>
      <c r="C260" s="26">
        <f t="shared" si="44"/>
        <v>1732.1</v>
      </c>
      <c r="D260" s="25">
        <f t="shared" si="45"/>
        <v>2014012</v>
      </c>
    </row>
    <row r="261" spans="1:4" x14ac:dyDescent="0.25">
      <c r="A261" s="12">
        <f>+'Rainfall Data'!B260</f>
        <v>42000</v>
      </c>
      <c r="B261" s="26">
        <f>+'Rainfall Data'!C260</f>
        <v>0</v>
      </c>
      <c r="C261" s="26">
        <f t="shared" si="44"/>
        <v>1732.1</v>
      </c>
      <c r="D261" s="25">
        <f t="shared" si="45"/>
        <v>2014012</v>
      </c>
    </row>
    <row r="262" spans="1:4" x14ac:dyDescent="0.25">
      <c r="A262" s="12">
        <f>+'Rainfall Data'!B261</f>
        <v>42001</v>
      </c>
      <c r="B262" s="26">
        <f>+'Rainfall Data'!C261</f>
        <v>0</v>
      </c>
      <c r="C262" s="26">
        <f t="shared" si="44"/>
        <v>1732.1</v>
      </c>
      <c r="D262" s="25">
        <f t="shared" si="45"/>
        <v>2014012</v>
      </c>
    </row>
    <row r="263" spans="1:4" x14ac:dyDescent="0.25">
      <c r="A263" s="12">
        <f>+'Rainfall Data'!B262</f>
        <v>42002</v>
      </c>
      <c r="B263" s="26">
        <f>+'Rainfall Data'!C262</f>
        <v>0</v>
      </c>
      <c r="C263" s="26">
        <f t="shared" si="44"/>
        <v>1732.1</v>
      </c>
      <c r="D263" s="25">
        <f t="shared" si="45"/>
        <v>2014012</v>
      </c>
    </row>
    <row r="264" spans="1:4" x14ac:dyDescent="0.25">
      <c r="A264" s="12">
        <f>+'Rainfall Data'!B263</f>
        <v>42003</v>
      </c>
      <c r="B264" s="26">
        <f>+'Rainfall Data'!C263</f>
        <v>0</v>
      </c>
      <c r="C264" s="26">
        <f t="shared" si="44"/>
        <v>1732.1</v>
      </c>
      <c r="D264" s="25">
        <f t="shared" si="45"/>
        <v>2014012</v>
      </c>
    </row>
    <row r="265" spans="1:4" x14ac:dyDescent="0.25">
      <c r="A265" s="12">
        <f>+'Rainfall Data'!B264</f>
        <v>42004</v>
      </c>
      <c r="B265" s="26">
        <f>+'Rainfall Data'!C264</f>
        <v>0</v>
      </c>
      <c r="C265" s="26">
        <f t="shared" si="44"/>
        <v>1732.1</v>
      </c>
      <c r="D265" s="25">
        <f t="shared" si="45"/>
        <v>2014012</v>
      </c>
    </row>
    <row r="266" spans="1:4" x14ac:dyDescent="0.25">
      <c r="A266" s="12">
        <f>+'Rainfall Data'!B265</f>
        <v>42005</v>
      </c>
      <c r="B266" s="26">
        <f>+'Rainfall Data'!C265</f>
        <v>0</v>
      </c>
      <c r="C266" s="26">
        <f>IF(B266="nd",0, IF(B266="T",0,B266))</f>
        <v>0</v>
      </c>
      <c r="D266" s="25">
        <f t="shared" si="45"/>
        <v>2015001</v>
      </c>
    </row>
    <row r="267" spans="1:4" x14ac:dyDescent="0.25">
      <c r="A267" s="12">
        <f>+'Rainfall Data'!B266</f>
        <v>42006</v>
      </c>
      <c r="B267" s="26">
        <f>+'Rainfall Data'!C266</f>
        <v>0</v>
      </c>
      <c r="C267" s="26">
        <f t="shared" si="44"/>
        <v>0</v>
      </c>
      <c r="D267" s="25">
        <f t="shared" si="45"/>
        <v>2015001</v>
      </c>
    </row>
    <row r="268" spans="1:4" x14ac:dyDescent="0.25">
      <c r="A268" s="12">
        <f>+'Rainfall Data'!B267</f>
        <v>42007</v>
      </c>
      <c r="B268" s="26">
        <f>+'Rainfall Data'!C267</f>
        <v>0</v>
      </c>
      <c r="C268" s="26">
        <f t="shared" si="44"/>
        <v>0</v>
      </c>
      <c r="D268" s="25">
        <f t="shared" si="45"/>
        <v>2015001</v>
      </c>
    </row>
    <row r="269" spans="1:4" x14ac:dyDescent="0.25">
      <c r="A269" s="12">
        <f>+'Rainfall Data'!B268</f>
        <v>42008</v>
      </c>
      <c r="B269" s="26">
        <f>+'Rainfall Data'!C268</f>
        <v>0</v>
      </c>
      <c r="C269" s="26">
        <f t="shared" si="44"/>
        <v>0</v>
      </c>
      <c r="D269" s="25">
        <f t="shared" si="45"/>
        <v>2015001</v>
      </c>
    </row>
    <row r="270" spans="1:4" x14ac:dyDescent="0.25">
      <c r="A270" s="12">
        <f>+'Rainfall Data'!B269</f>
        <v>42009</v>
      </c>
      <c r="B270" s="26">
        <f>+'Rainfall Data'!C269</f>
        <v>0</v>
      </c>
      <c r="C270" s="26">
        <f t="shared" si="44"/>
        <v>0</v>
      </c>
      <c r="D270" s="25">
        <f t="shared" si="45"/>
        <v>2015001</v>
      </c>
    </row>
    <row r="271" spans="1:4" x14ac:dyDescent="0.25">
      <c r="A271" s="12">
        <f>+'Rainfall Data'!B270</f>
        <v>42010</v>
      </c>
      <c r="B271" s="26">
        <f>+'Rainfall Data'!C270</f>
        <v>0</v>
      </c>
      <c r="C271" s="26">
        <f t="shared" si="44"/>
        <v>0</v>
      </c>
      <c r="D271" s="25">
        <f t="shared" si="45"/>
        <v>2015001</v>
      </c>
    </row>
    <row r="272" spans="1:4" x14ac:dyDescent="0.25">
      <c r="A272" s="12">
        <f>+'Rainfall Data'!B271</f>
        <v>42011</v>
      </c>
      <c r="B272" s="26">
        <f>+'Rainfall Data'!C271</f>
        <v>0</v>
      </c>
      <c r="C272" s="26">
        <f t="shared" si="44"/>
        <v>0</v>
      </c>
      <c r="D272" s="25">
        <f t="shared" si="45"/>
        <v>2015001</v>
      </c>
    </row>
    <row r="273" spans="1:4" x14ac:dyDescent="0.25">
      <c r="A273" s="12">
        <f>+'Rainfall Data'!B272</f>
        <v>42012</v>
      </c>
      <c r="B273" s="26">
        <f>+'Rainfall Data'!C272</f>
        <v>0</v>
      </c>
      <c r="C273" s="26">
        <f t="shared" si="44"/>
        <v>0</v>
      </c>
      <c r="D273" s="25">
        <f t="shared" si="45"/>
        <v>2015001</v>
      </c>
    </row>
    <row r="274" spans="1:4" x14ac:dyDescent="0.25">
      <c r="A274" s="12">
        <f>+'Rainfall Data'!B273</f>
        <v>42013</v>
      </c>
      <c r="B274" s="26">
        <f>+'Rainfall Data'!C273</f>
        <v>0</v>
      </c>
      <c r="C274" s="26">
        <f t="shared" si="44"/>
        <v>0</v>
      </c>
      <c r="D274" s="25">
        <f t="shared" si="45"/>
        <v>2015001</v>
      </c>
    </row>
    <row r="275" spans="1:4" x14ac:dyDescent="0.25">
      <c r="A275" s="12">
        <f>+'Rainfall Data'!B274</f>
        <v>42014</v>
      </c>
      <c r="B275" s="26">
        <f>+'Rainfall Data'!C274</f>
        <v>0</v>
      </c>
      <c r="C275" s="26">
        <f t="shared" si="44"/>
        <v>0</v>
      </c>
      <c r="D275" s="25">
        <f t="shared" si="45"/>
        <v>2015001</v>
      </c>
    </row>
    <row r="276" spans="1:4" x14ac:dyDescent="0.25">
      <c r="A276" s="12">
        <f>+'Rainfall Data'!B275</f>
        <v>42015</v>
      </c>
      <c r="B276" s="26">
        <f>+'Rainfall Data'!C275</f>
        <v>0</v>
      </c>
      <c r="C276" s="26">
        <f t="shared" si="44"/>
        <v>0</v>
      </c>
      <c r="D276" s="25">
        <f t="shared" si="45"/>
        <v>2015001</v>
      </c>
    </row>
    <row r="277" spans="1:4" x14ac:dyDescent="0.25">
      <c r="A277" s="12">
        <f>+'Rainfall Data'!B276</f>
        <v>42016</v>
      </c>
      <c r="B277" s="26">
        <f>+'Rainfall Data'!C276</f>
        <v>0</v>
      </c>
      <c r="C277" s="26">
        <f t="shared" si="44"/>
        <v>0</v>
      </c>
      <c r="D277" s="25">
        <f t="shared" si="45"/>
        <v>2015001</v>
      </c>
    </row>
    <row r="278" spans="1:4" x14ac:dyDescent="0.25">
      <c r="A278" s="12">
        <f>+'Rainfall Data'!B277</f>
        <v>42017</v>
      </c>
      <c r="B278" s="26">
        <f>+'Rainfall Data'!C277</f>
        <v>0</v>
      </c>
      <c r="C278" s="26">
        <f t="shared" si="44"/>
        <v>0</v>
      </c>
      <c r="D278" s="25">
        <f t="shared" si="45"/>
        <v>2015001</v>
      </c>
    </row>
    <row r="279" spans="1:4" x14ac:dyDescent="0.25">
      <c r="A279" s="12">
        <f>+'Rainfall Data'!B278</f>
        <v>42018</v>
      </c>
      <c r="B279" s="26">
        <f>+'Rainfall Data'!C278</f>
        <v>0</v>
      </c>
      <c r="C279" s="26">
        <f t="shared" si="44"/>
        <v>0</v>
      </c>
      <c r="D279" s="25">
        <f t="shared" si="45"/>
        <v>2015001</v>
      </c>
    </row>
    <row r="280" spans="1:4" x14ac:dyDescent="0.25">
      <c r="A280" s="12">
        <f>+'Rainfall Data'!B279</f>
        <v>42019</v>
      </c>
      <c r="B280" s="26">
        <f>+'Rainfall Data'!C279</f>
        <v>0</v>
      </c>
      <c r="C280" s="26">
        <f t="shared" si="44"/>
        <v>0</v>
      </c>
      <c r="D280" s="25">
        <f t="shared" si="45"/>
        <v>2015001</v>
      </c>
    </row>
    <row r="281" spans="1:4" x14ac:dyDescent="0.25">
      <c r="A281" s="12">
        <f>+'Rainfall Data'!B280</f>
        <v>42020</v>
      </c>
      <c r="B281" s="26">
        <f>+'Rainfall Data'!C280</f>
        <v>0</v>
      </c>
      <c r="C281" s="26">
        <f t="shared" si="44"/>
        <v>0</v>
      </c>
      <c r="D281" s="25">
        <f t="shared" si="45"/>
        <v>2015001</v>
      </c>
    </row>
    <row r="282" spans="1:4" x14ac:dyDescent="0.25">
      <c r="A282" s="12">
        <f>+'Rainfall Data'!B281</f>
        <v>42021</v>
      </c>
      <c r="B282" s="26">
        <f>+'Rainfall Data'!C281</f>
        <v>0</v>
      </c>
      <c r="C282" s="26">
        <f t="shared" si="44"/>
        <v>0</v>
      </c>
      <c r="D282" s="25">
        <f t="shared" si="45"/>
        <v>2015001</v>
      </c>
    </row>
    <row r="283" spans="1:4" x14ac:dyDescent="0.25">
      <c r="A283" s="12">
        <f>+'Rainfall Data'!B282</f>
        <v>42022</v>
      </c>
      <c r="B283" s="26">
        <f>+'Rainfall Data'!C282</f>
        <v>0</v>
      </c>
      <c r="C283" s="26">
        <f t="shared" si="44"/>
        <v>0</v>
      </c>
      <c r="D283" s="25">
        <f t="shared" si="45"/>
        <v>2015001</v>
      </c>
    </row>
    <row r="284" spans="1:4" x14ac:dyDescent="0.25">
      <c r="A284" s="12">
        <f>+'Rainfall Data'!B283</f>
        <v>42023</v>
      </c>
      <c r="B284" s="26">
        <f>+'Rainfall Data'!C283</f>
        <v>0</v>
      </c>
      <c r="C284" s="26">
        <f t="shared" si="44"/>
        <v>0</v>
      </c>
      <c r="D284" s="25">
        <f t="shared" si="45"/>
        <v>2015001</v>
      </c>
    </row>
    <row r="285" spans="1:4" x14ac:dyDescent="0.25">
      <c r="A285" s="12">
        <f>+'Rainfall Data'!B284</f>
        <v>42024</v>
      </c>
      <c r="B285" s="26">
        <f>+'Rainfall Data'!C284</f>
        <v>0</v>
      </c>
      <c r="C285" s="26">
        <f t="shared" si="44"/>
        <v>0</v>
      </c>
      <c r="D285" s="25">
        <f t="shared" si="45"/>
        <v>2015001</v>
      </c>
    </row>
    <row r="286" spans="1:4" x14ac:dyDescent="0.25">
      <c r="A286" s="12">
        <f>+'Rainfall Data'!B285</f>
        <v>42025</v>
      </c>
      <c r="B286" s="26">
        <f>+'Rainfall Data'!C285</f>
        <v>0</v>
      </c>
      <c r="C286" s="26">
        <f t="shared" si="44"/>
        <v>0</v>
      </c>
      <c r="D286" s="25">
        <f t="shared" si="45"/>
        <v>2015001</v>
      </c>
    </row>
    <row r="287" spans="1:4" x14ac:dyDescent="0.25">
      <c r="A287" s="12">
        <f>+'Rainfall Data'!B286</f>
        <v>42026</v>
      </c>
      <c r="B287" s="26">
        <f>+'Rainfall Data'!C286</f>
        <v>0</v>
      </c>
      <c r="C287" s="26">
        <f t="shared" si="44"/>
        <v>0</v>
      </c>
      <c r="D287" s="25">
        <f t="shared" si="45"/>
        <v>2015001</v>
      </c>
    </row>
    <row r="288" spans="1:4" x14ac:dyDescent="0.25">
      <c r="A288" s="12">
        <f>+'Rainfall Data'!B287</f>
        <v>42027</v>
      </c>
      <c r="B288" s="26">
        <f>+'Rainfall Data'!C287</f>
        <v>0</v>
      </c>
      <c r="C288" s="26">
        <f t="shared" si="44"/>
        <v>0</v>
      </c>
      <c r="D288" s="25">
        <f t="shared" si="45"/>
        <v>2015001</v>
      </c>
    </row>
    <row r="289" spans="1:4" x14ac:dyDescent="0.25">
      <c r="A289" s="12">
        <f>+'Rainfall Data'!B288</f>
        <v>42028</v>
      </c>
      <c r="B289" s="26">
        <f>+'Rainfall Data'!C288</f>
        <v>0</v>
      </c>
      <c r="C289" s="26">
        <f t="shared" si="44"/>
        <v>0</v>
      </c>
      <c r="D289" s="25">
        <f t="shared" si="45"/>
        <v>2015001</v>
      </c>
    </row>
    <row r="290" spans="1:4" x14ac:dyDescent="0.25">
      <c r="A290" s="12">
        <f>+'Rainfall Data'!B289</f>
        <v>42029</v>
      </c>
      <c r="B290" s="26">
        <f>+'Rainfall Data'!C289</f>
        <v>0</v>
      </c>
      <c r="C290" s="26">
        <f t="shared" si="44"/>
        <v>0</v>
      </c>
      <c r="D290" s="25">
        <f t="shared" si="45"/>
        <v>2015001</v>
      </c>
    </row>
    <row r="291" spans="1:4" x14ac:dyDescent="0.25">
      <c r="A291" s="12">
        <f>+'Rainfall Data'!B290</f>
        <v>42030</v>
      </c>
      <c r="B291" s="26">
        <f>+'Rainfall Data'!C290</f>
        <v>0</v>
      </c>
      <c r="C291" s="26">
        <f t="shared" si="44"/>
        <v>0</v>
      </c>
      <c r="D291" s="25">
        <f t="shared" si="45"/>
        <v>2015001</v>
      </c>
    </row>
    <row r="292" spans="1:4" x14ac:dyDescent="0.25">
      <c r="A292" s="12">
        <f>+'Rainfall Data'!B291</f>
        <v>42031</v>
      </c>
      <c r="B292" s="26">
        <f>+'Rainfall Data'!C291</f>
        <v>0</v>
      </c>
      <c r="C292" s="26">
        <f t="shared" si="44"/>
        <v>0</v>
      </c>
      <c r="D292" s="25">
        <f t="shared" si="45"/>
        <v>2015001</v>
      </c>
    </row>
    <row r="293" spans="1:4" x14ac:dyDescent="0.25">
      <c r="A293" s="12">
        <f>+'Rainfall Data'!B292</f>
        <v>42032</v>
      </c>
      <c r="B293" s="26">
        <f>+'Rainfall Data'!C292</f>
        <v>0</v>
      </c>
      <c r="C293" s="26">
        <f t="shared" si="44"/>
        <v>0</v>
      </c>
      <c r="D293" s="25">
        <f t="shared" si="45"/>
        <v>2015001</v>
      </c>
    </row>
    <row r="294" spans="1:4" x14ac:dyDescent="0.25">
      <c r="A294" s="12">
        <f>+'Rainfall Data'!B293</f>
        <v>42033</v>
      </c>
      <c r="B294" s="26">
        <f>+'Rainfall Data'!C293</f>
        <v>0</v>
      </c>
      <c r="C294" s="26">
        <f t="shared" si="44"/>
        <v>0</v>
      </c>
      <c r="D294" s="25">
        <f t="shared" si="45"/>
        <v>2015001</v>
      </c>
    </row>
    <row r="295" spans="1:4" x14ac:dyDescent="0.25">
      <c r="A295" s="12">
        <f>+'Rainfall Data'!B294</f>
        <v>42034</v>
      </c>
      <c r="B295" s="26">
        <f>+'Rainfall Data'!C294</f>
        <v>0</v>
      </c>
      <c r="C295" s="26">
        <f t="shared" si="44"/>
        <v>0</v>
      </c>
      <c r="D295" s="25">
        <f t="shared" si="45"/>
        <v>2015001</v>
      </c>
    </row>
    <row r="296" spans="1:4" x14ac:dyDescent="0.25">
      <c r="A296" s="12">
        <f>+'Rainfall Data'!B295</f>
        <v>42035</v>
      </c>
      <c r="B296" s="26">
        <f>+'Rainfall Data'!C295</f>
        <v>0</v>
      </c>
      <c r="C296" s="26">
        <f t="shared" si="44"/>
        <v>0</v>
      </c>
      <c r="D296" s="25">
        <f t="shared" si="45"/>
        <v>2015001</v>
      </c>
    </row>
    <row r="297" spans="1:4" x14ac:dyDescent="0.25">
      <c r="A297" s="12">
        <f>+'Rainfall Data'!B296</f>
        <v>42036</v>
      </c>
      <c r="B297" s="26">
        <f>+'Rainfall Data'!C296</f>
        <v>0</v>
      </c>
      <c r="C297" s="26">
        <f t="shared" si="44"/>
        <v>0</v>
      </c>
      <c r="D297" s="25">
        <f t="shared" si="45"/>
        <v>2015002</v>
      </c>
    </row>
    <row r="298" spans="1:4" x14ac:dyDescent="0.25">
      <c r="A298" s="12">
        <f>+'Rainfall Data'!B297</f>
        <v>42037</v>
      </c>
      <c r="B298" s="26">
        <f>+'Rainfall Data'!C297</f>
        <v>0</v>
      </c>
      <c r="C298" s="26">
        <f t="shared" si="44"/>
        <v>0</v>
      </c>
      <c r="D298" s="25">
        <f t="shared" si="45"/>
        <v>2015002</v>
      </c>
    </row>
    <row r="299" spans="1:4" x14ac:dyDescent="0.25">
      <c r="A299" s="12">
        <f>+'Rainfall Data'!B298</f>
        <v>42038</v>
      </c>
      <c r="B299" s="26">
        <f>+'Rainfall Data'!C298</f>
        <v>0</v>
      </c>
      <c r="C299" s="26">
        <f t="shared" si="44"/>
        <v>0</v>
      </c>
      <c r="D299" s="25">
        <f t="shared" si="45"/>
        <v>2015002</v>
      </c>
    </row>
    <row r="300" spans="1:4" x14ac:dyDescent="0.25">
      <c r="A300" s="12">
        <f>+'Rainfall Data'!B299</f>
        <v>42039</v>
      </c>
      <c r="B300" s="26">
        <f>+'Rainfall Data'!C299</f>
        <v>0</v>
      </c>
      <c r="C300" s="26">
        <f t="shared" si="44"/>
        <v>0</v>
      </c>
      <c r="D300" s="25">
        <f t="shared" si="45"/>
        <v>2015002</v>
      </c>
    </row>
    <row r="301" spans="1:4" x14ac:dyDescent="0.25">
      <c r="A301" s="12">
        <f>+'Rainfall Data'!B300</f>
        <v>42040</v>
      </c>
      <c r="B301" s="26">
        <f>+'Rainfall Data'!C300</f>
        <v>0</v>
      </c>
      <c r="C301" s="26">
        <f t="shared" si="44"/>
        <v>0</v>
      </c>
      <c r="D301" s="25">
        <f t="shared" si="45"/>
        <v>2015002</v>
      </c>
    </row>
    <row r="302" spans="1:4" x14ac:dyDescent="0.25">
      <c r="A302" s="12">
        <f>+'Rainfall Data'!B301</f>
        <v>42041</v>
      </c>
      <c r="B302" s="26">
        <f>+'Rainfall Data'!C301</f>
        <v>0</v>
      </c>
      <c r="C302" s="26">
        <f t="shared" si="44"/>
        <v>0</v>
      </c>
      <c r="D302" s="25">
        <f t="shared" si="45"/>
        <v>2015002</v>
      </c>
    </row>
    <row r="303" spans="1:4" x14ac:dyDescent="0.25">
      <c r="A303" s="12">
        <f>+'Rainfall Data'!B302</f>
        <v>42042</v>
      </c>
      <c r="B303" s="26">
        <f>+'Rainfall Data'!C302</f>
        <v>0</v>
      </c>
      <c r="C303" s="26">
        <f t="shared" si="44"/>
        <v>0</v>
      </c>
      <c r="D303" s="25">
        <f t="shared" si="45"/>
        <v>2015002</v>
      </c>
    </row>
    <row r="304" spans="1:4" x14ac:dyDescent="0.25">
      <c r="A304" s="12">
        <f>+'Rainfall Data'!B303</f>
        <v>42043</v>
      </c>
      <c r="B304" s="26">
        <f>+'Rainfall Data'!C303</f>
        <v>0</v>
      </c>
      <c r="C304" s="26">
        <f t="shared" si="44"/>
        <v>0</v>
      </c>
      <c r="D304" s="25">
        <f t="shared" si="45"/>
        <v>2015002</v>
      </c>
    </row>
    <row r="305" spans="1:4" x14ac:dyDescent="0.25">
      <c r="A305" s="12">
        <f>+'Rainfall Data'!B304</f>
        <v>42044</v>
      </c>
      <c r="B305" s="26">
        <f>+'Rainfall Data'!C304</f>
        <v>0</v>
      </c>
      <c r="C305" s="26">
        <f t="shared" ref="C305:C355" si="46">IF(B305="nd",0, IF(B305="T",0,B305))+C304</f>
        <v>0</v>
      </c>
      <c r="D305" s="25">
        <f t="shared" ref="D305:D355" si="47">+YEAR(A305)*1000+MONTH(A305)</f>
        <v>2015002</v>
      </c>
    </row>
    <row r="306" spans="1:4" x14ac:dyDescent="0.25">
      <c r="A306" s="12">
        <f>+'Rainfall Data'!B305</f>
        <v>42045</v>
      </c>
      <c r="B306" s="26">
        <f>+'Rainfall Data'!C305</f>
        <v>0</v>
      </c>
      <c r="C306" s="26">
        <f t="shared" si="46"/>
        <v>0</v>
      </c>
      <c r="D306" s="25">
        <f t="shared" si="47"/>
        <v>2015002</v>
      </c>
    </row>
    <row r="307" spans="1:4" x14ac:dyDescent="0.25">
      <c r="A307" s="12">
        <f>+'Rainfall Data'!B306</f>
        <v>42046</v>
      </c>
      <c r="B307" s="26">
        <f>+'Rainfall Data'!C306</f>
        <v>0</v>
      </c>
      <c r="C307" s="26">
        <f t="shared" si="46"/>
        <v>0</v>
      </c>
      <c r="D307" s="25">
        <f t="shared" si="47"/>
        <v>2015002</v>
      </c>
    </row>
    <row r="308" spans="1:4" x14ac:dyDescent="0.25">
      <c r="A308" s="12">
        <f>+'Rainfall Data'!B307</f>
        <v>42047</v>
      </c>
      <c r="B308" s="26">
        <f>+'Rainfall Data'!C307</f>
        <v>0</v>
      </c>
      <c r="C308" s="26">
        <f t="shared" si="46"/>
        <v>0</v>
      </c>
      <c r="D308" s="25">
        <f t="shared" si="47"/>
        <v>2015002</v>
      </c>
    </row>
    <row r="309" spans="1:4" x14ac:dyDescent="0.25">
      <c r="A309" s="12">
        <f>+'Rainfall Data'!B308</f>
        <v>42048</v>
      </c>
      <c r="B309" s="26">
        <f>+'Rainfall Data'!C308</f>
        <v>0</v>
      </c>
      <c r="C309" s="26">
        <f t="shared" si="46"/>
        <v>0</v>
      </c>
      <c r="D309" s="25">
        <f t="shared" si="47"/>
        <v>2015002</v>
      </c>
    </row>
    <row r="310" spans="1:4" x14ac:dyDescent="0.25">
      <c r="A310" s="12">
        <f>+'Rainfall Data'!B309</f>
        <v>42049</v>
      </c>
      <c r="B310" s="26">
        <f>+'Rainfall Data'!C309</f>
        <v>0</v>
      </c>
      <c r="C310" s="26">
        <f t="shared" si="46"/>
        <v>0</v>
      </c>
      <c r="D310" s="25">
        <f t="shared" si="47"/>
        <v>2015002</v>
      </c>
    </row>
    <row r="311" spans="1:4" x14ac:dyDescent="0.25">
      <c r="A311" s="12">
        <f>+'Rainfall Data'!B310</f>
        <v>42050</v>
      </c>
      <c r="B311" s="26">
        <f>+'Rainfall Data'!C310</f>
        <v>0</v>
      </c>
      <c r="C311" s="26">
        <f t="shared" si="46"/>
        <v>0</v>
      </c>
      <c r="D311" s="25">
        <f t="shared" si="47"/>
        <v>2015002</v>
      </c>
    </row>
    <row r="312" spans="1:4" x14ac:dyDescent="0.25">
      <c r="A312" s="12">
        <f>+'Rainfall Data'!B311</f>
        <v>42051</v>
      </c>
      <c r="B312" s="26">
        <f>+'Rainfall Data'!C311</f>
        <v>0</v>
      </c>
      <c r="C312" s="26">
        <f t="shared" si="46"/>
        <v>0</v>
      </c>
      <c r="D312" s="25">
        <f t="shared" si="47"/>
        <v>2015002</v>
      </c>
    </row>
    <row r="313" spans="1:4" x14ac:dyDescent="0.25">
      <c r="A313" s="12">
        <f>+'Rainfall Data'!B312</f>
        <v>42052</v>
      </c>
      <c r="B313" s="26">
        <f>+'Rainfall Data'!C312</f>
        <v>0</v>
      </c>
      <c r="C313" s="26">
        <f t="shared" si="46"/>
        <v>0</v>
      </c>
      <c r="D313" s="25">
        <f t="shared" si="47"/>
        <v>2015002</v>
      </c>
    </row>
    <row r="314" spans="1:4" x14ac:dyDescent="0.25">
      <c r="A314" s="12">
        <f>+'Rainfall Data'!B313</f>
        <v>42053</v>
      </c>
      <c r="B314" s="26">
        <f>+'Rainfall Data'!C313</f>
        <v>0</v>
      </c>
      <c r="C314" s="26">
        <f t="shared" si="46"/>
        <v>0</v>
      </c>
      <c r="D314" s="25">
        <f t="shared" si="47"/>
        <v>2015002</v>
      </c>
    </row>
    <row r="315" spans="1:4" x14ac:dyDescent="0.25">
      <c r="A315" s="12">
        <f>+'Rainfall Data'!B314</f>
        <v>42054</v>
      </c>
      <c r="B315" s="26">
        <f>+'Rainfall Data'!C314</f>
        <v>0</v>
      </c>
      <c r="C315" s="26">
        <f t="shared" si="46"/>
        <v>0</v>
      </c>
      <c r="D315" s="25">
        <f t="shared" si="47"/>
        <v>2015002</v>
      </c>
    </row>
    <row r="316" spans="1:4" x14ac:dyDescent="0.25">
      <c r="A316" s="12">
        <f>+'Rainfall Data'!B315</f>
        <v>42055</v>
      </c>
      <c r="B316" s="26">
        <f>+'Rainfall Data'!C315</f>
        <v>0</v>
      </c>
      <c r="C316" s="26">
        <f t="shared" si="46"/>
        <v>0</v>
      </c>
      <c r="D316" s="25">
        <f t="shared" si="47"/>
        <v>2015002</v>
      </c>
    </row>
    <row r="317" spans="1:4" x14ac:dyDescent="0.25">
      <c r="A317" s="12">
        <f>+'Rainfall Data'!B316</f>
        <v>42056</v>
      </c>
      <c r="B317" s="26">
        <f>+'Rainfall Data'!C316</f>
        <v>0</v>
      </c>
      <c r="C317" s="26">
        <f t="shared" si="46"/>
        <v>0</v>
      </c>
      <c r="D317" s="25">
        <f t="shared" si="47"/>
        <v>2015002</v>
      </c>
    </row>
    <row r="318" spans="1:4" x14ac:dyDescent="0.25">
      <c r="A318" s="12">
        <f>+'Rainfall Data'!B317</f>
        <v>42057</v>
      </c>
      <c r="B318" s="26">
        <f>+'Rainfall Data'!C317</f>
        <v>0</v>
      </c>
      <c r="C318" s="26">
        <f t="shared" si="46"/>
        <v>0</v>
      </c>
      <c r="D318" s="25">
        <f t="shared" si="47"/>
        <v>2015002</v>
      </c>
    </row>
    <row r="319" spans="1:4" x14ac:dyDescent="0.25">
      <c r="A319" s="12">
        <f>+'Rainfall Data'!B318</f>
        <v>42058</v>
      </c>
      <c r="B319" s="26">
        <f>+'Rainfall Data'!C318</f>
        <v>0</v>
      </c>
      <c r="C319" s="26">
        <f t="shared" si="46"/>
        <v>0</v>
      </c>
      <c r="D319" s="25">
        <f t="shared" si="47"/>
        <v>2015002</v>
      </c>
    </row>
    <row r="320" spans="1:4" x14ac:dyDescent="0.25">
      <c r="A320" s="12">
        <f>+'Rainfall Data'!B319</f>
        <v>42059</v>
      </c>
      <c r="B320" s="26">
        <f>+'Rainfall Data'!C319</f>
        <v>0</v>
      </c>
      <c r="C320" s="26">
        <f t="shared" si="46"/>
        <v>0</v>
      </c>
      <c r="D320" s="25">
        <f t="shared" si="47"/>
        <v>2015002</v>
      </c>
    </row>
    <row r="321" spans="1:4" x14ac:dyDescent="0.25">
      <c r="A321" s="12">
        <f>+'Rainfall Data'!B320</f>
        <v>42060</v>
      </c>
      <c r="B321" s="26">
        <f>+'Rainfall Data'!C320</f>
        <v>0</v>
      </c>
      <c r="C321" s="26">
        <f t="shared" si="46"/>
        <v>0</v>
      </c>
      <c r="D321" s="25">
        <f t="shared" si="47"/>
        <v>2015002</v>
      </c>
    </row>
    <row r="322" spans="1:4" x14ac:dyDescent="0.25">
      <c r="A322" s="12">
        <f>+'Rainfall Data'!B321</f>
        <v>42061</v>
      </c>
      <c r="B322" s="26">
        <f>+'Rainfall Data'!C321</f>
        <v>0</v>
      </c>
      <c r="C322" s="26">
        <f t="shared" si="46"/>
        <v>0</v>
      </c>
      <c r="D322" s="25">
        <f t="shared" si="47"/>
        <v>2015002</v>
      </c>
    </row>
    <row r="323" spans="1:4" x14ac:dyDescent="0.25">
      <c r="A323" s="12">
        <f>+'Rainfall Data'!B322</f>
        <v>42062</v>
      </c>
      <c r="B323" s="26">
        <f>+'Rainfall Data'!C322</f>
        <v>0</v>
      </c>
      <c r="C323" s="26">
        <f t="shared" si="46"/>
        <v>0</v>
      </c>
      <c r="D323" s="25">
        <f t="shared" si="47"/>
        <v>2015002</v>
      </c>
    </row>
    <row r="324" spans="1:4" x14ac:dyDescent="0.25">
      <c r="A324" s="12">
        <f>+'Rainfall Data'!B323</f>
        <v>42063</v>
      </c>
      <c r="B324" s="26">
        <f>+'Rainfall Data'!C323</f>
        <v>0</v>
      </c>
      <c r="C324" s="26">
        <f t="shared" si="46"/>
        <v>0</v>
      </c>
      <c r="D324" s="25">
        <f t="shared" si="47"/>
        <v>2015002</v>
      </c>
    </row>
    <row r="325" spans="1:4" x14ac:dyDescent="0.25">
      <c r="A325" s="12">
        <f>+'Rainfall Data'!B324</f>
        <v>42064</v>
      </c>
      <c r="B325" s="26">
        <f>+'Rainfall Data'!C324</f>
        <v>0</v>
      </c>
      <c r="C325" s="26">
        <f t="shared" si="46"/>
        <v>0</v>
      </c>
      <c r="D325" s="25">
        <f t="shared" si="47"/>
        <v>2015003</v>
      </c>
    </row>
    <row r="326" spans="1:4" x14ac:dyDescent="0.25">
      <c r="A326" s="12">
        <f>+'Rainfall Data'!B325</f>
        <v>42065</v>
      </c>
      <c r="B326" s="26">
        <f>+'Rainfall Data'!C325</f>
        <v>0</v>
      </c>
      <c r="C326" s="26">
        <f t="shared" si="46"/>
        <v>0</v>
      </c>
      <c r="D326" s="25">
        <f t="shared" si="47"/>
        <v>2015003</v>
      </c>
    </row>
    <row r="327" spans="1:4" x14ac:dyDescent="0.25">
      <c r="A327" s="12">
        <f>+'Rainfall Data'!B326</f>
        <v>42066</v>
      </c>
      <c r="B327" s="26">
        <f>+'Rainfall Data'!C326</f>
        <v>0</v>
      </c>
      <c r="C327" s="26">
        <f t="shared" si="46"/>
        <v>0</v>
      </c>
      <c r="D327" s="25">
        <f t="shared" si="47"/>
        <v>2015003</v>
      </c>
    </row>
    <row r="328" spans="1:4" x14ac:dyDescent="0.25">
      <c r="A328" s="12">
        <f>+'Rainfall Data'!B327</f>
        <v>42067</v>
      </c>
      <c r="B328" s="26">
        <f>+'Rainfall Data'!C327</f>
        <v>0</v>
      </c>
      <c r="C328" s="26">
        <f t="shared" si="46"/>
        <v>0</v>
      </c>
      <c r="D328" s="25">
        <f t="shared" si="47"/>
        <v>2015003</v>
      </c>
    </row>
    <row r="329" spans="1:4" x14ac:dyDescent="0.25">
      <c r="A329" s="12">
        <f>+'Rainfall Data'!B328</f>
        <v>42068</v>
      </c>
      <c r="B329" s="26">
        <f>+'Rainfall Data'!C328</f>
        <v>0</v>
      </c>
      <c r="C329" s="26">
        <f t="shared" si="46"/>
        <v>0</v>
      </c>
      <c r="D329" s="25">
        <f t="shared" si="47"/>
        <v>2015003</v>
      </c>
    </row>
    <row r="330" spans="1:4" x14ac:dyDescent="0.25">
      <c r="A330" s="12">
        <f>+'Rainfall Data'!B329</f>
        <v>42069</v>
      </c>
      <c r="B330" s="26">
        <f>+'Rainfall Data'!C329</f>
        <v>0</v>
      </c>
      <c r="C330" s="26">
        <f t="shared" si="46"/>
        <v>0</v>
      </c>
      <c r="D330" s="25">
        <f t="shared" si="47"/>
        <v>2015003</v>
      </c>
    </row>
    <row r="331" spans="1:4" x14ac:dyDescent="0.25">
      <c r="A331" s="12">
        <f>+'Rainfall Data'!B330</f>
        <v>42070</v>
      </c>
      <c r="B331" s="26">
        <f>+'Rainfall Data'!C330</f>
        <v>0</v>
      </c>
      <c r="C331" s="26">
        <f t="shared" si="46"/>
        <v>0</v>
      </c>
      <c r="D331" s="25">
        <f t="shared" si="47"/>
        <v>2015003</v>
      </c>
    </row>
    <row r="332" spans="1:4" x14ac:dyDescent="0.25">
      <c r="A332" s="12">
        <f>+'Rainfall Data'!B331</f>
        <v>42071</v>
      </c>
      <c r="B332" s="26">
        <f>+'Rainfall Data'!C331</f>
        <v>5</v>
      </c>
      <c r="C332" s="26">
        <f t="shared" si="46"/>
        <v>5</v>
      </c>
      <c r="D332" s="25">
        <f t="shared" si="47"/>
        <v>2015003</v>
      </c>
    </row>
    <row r="333" spans="1:4" x14ac:dyDescent="0.25">
      <c r="A333" s="12">
        <f>+'Rainfall Data'!B332</f>
        <v>42072</v>
      </c>
      <c r="B333" s="26">
        <f>+'Rainfall Data'!C332</f>
        <v>0</v>
      </c>
      <c r="C333" s="26">
        <f t="shared" si="46"/>
        <v>5</v>
      </c>
      <c r="D333" s="25">
        <f t="shared" si="47"/>
        <v>2015003</v>
      </c>
    </row>
    <row r="334" spans="1:4" x14ac:dyDescent="0.25">
      <c r="A334" s="12">
        <f>+'Rainfall Data'!B333</f>
        <v>42073</v>
      </c>
      <c r="B334" s="26">
        <f>+'Rainfall Data'!C333</f>
        <v>0</v>
      </c>
      <c r="C334" s="26">
        <f t="shared" si="46"/>
        <v>5</v>
      </c>
      <c r="D334" s="25">
        <f t="shared" si="47"/>
        <v>2015003</v>
      </c>
    </row>
    <row r="335" spans="1:4" x14ac:dyDescent="0.25">
      <c r="A335" s="12">
        <f>+'Rainfall Data'!B334</f>
        <v>42074</v>
      </c>
      <c r="B335" s="26">
        <f>+'Rainfall Data'!C334</f>
        <v>0</v>
      </c>
      <c r="C335" s="26">
        <f t="shared" si="46"/>
        <v>5</v>
      </c>
      <c r="D335" s="25">
        <f t="shared" si="47"/>
        <v>2015003</v>
      </c>
    </row>
    <row r="336" spans="1:4" x14ac:dyDescent="0.25">
      <c r="A336" s="12">
        <f>+'Rainfall Data'!B335</f>
        <v>42075</v>
      </c>
      <c r="B336" s="26">
        <f>+'Rainfall Data'!C335</f>
        <v>0</v>
      </c>
      <c r="C336" s="26">
        <f t="shared" si="46"/>
        <v>5</v>
      </c>
      <c r="D336" s="25">
        <f t="shared" si="47"/>
        <v>2015003</v>
      </c>
    </row>
    <row r="337" spans="1:4" x14ac:dyDescent="0.25">
      <c r="A337" s="12">
        <f>+'Rainfall Data'!B336</f>
        <v>42076</v>
      </c>
      <c r="B337" s="26">
        <f>+'Rainfall Data'!C336</f>
        <v>0</v>
      </c>
      <c r="C337" s="26">
        <f t="shared" si="46"/>
        <v>5</v>
      </c>
      <c r="D337" s="25">
        <f t="shared" si="47"/>
        <v>2015003</v>
      </c>
    </row>
    <row r="338" spans="1:4" x14ac:dyDescent="0.25">
      <c r="A338" s="12">
        <f>+'Rainfall Data'!B337</f>
        <v>42077</v>
      </c>
      <c r="B338" s="26">
        <f>+'Rainfall Data'!C337</f>
        <v>0</v>
      </c>
      <c r="C338" s="26">
        <f t="shared" si="46"/>
        <v>5</v>
      </c>
      <c r="D338" s="25">
        <f t="shared" si="47"/>
        <v>2015003</v>
      </c>
    </row>
    <row r="339" spans="1:4" x14ac:dyDescent="0.25">
      <c r="A339" s="12">
        <f>+'Rainfall Data'!B338</f>
        <v>42078</v>
      </c>
      <c r="B339" s="26">
        <f>+'Rainfall Data'!C338</f>
        <v>0</v>
      </c>
      <c r="C339" s="26">
        <f t="shared" si="46"/>
        <v>5</v>
      </c>
      <c r="D339" s="25">
        <f t="shared" si="47"/>
        <v>2015003</v>
      </c>
    </row>
    <row r="340" spans="1:4" x14ac:dyDescent="0.25">
      <c r="A340" s="12">
        <f>+'Rainfall Data'!B339</f>
        <v>42079</v>
      </c>
      <c r="B340" s="26">
        <f>+'Rainfall Data'!C339</f>
        <v>0</v>
      </c>
      <c r="C340" s="26">
        <f t="shared" si="46"/>
        <v>5</v>
      </c>
      <c r="D340" s="25">
        <f t="shared" si="47"/>
        <v>2015003</v>
      </c>
    </row>
    <row r="341" spans="1:4" x14ac:dyDescent="0.25">
      <c r="A341" s="12">
        <f>+'Rainfall Data'!B340</f>
        <v>42080</v>
      </c>
      <c r="B341" s="26">
        <f>+'Rainfall Data'!C340</f>
        <v>0</v>
      </c>
      <c r="C341" s="26">
        <f t="shared" si="46"/>
        <v>5</v>
      </c>
      <c r="D341" s="25">
        <f t="shared" si="47"/>
        <v>2015003</v>
      </c>
    </row>
    <row r="342" spans="1:4" x14ac:dyDescent="0.25">
      <c r="A342" s="12">
        <f>+'Rainfall Data'!B341</f>
        <v>42081</v>
      </c>
      <c r="B342" s="26">
        <f>+'Rainfall Data'!C341</f>
        <v>0</v>
      </c>
      <c r="C342" s="26">
        <f t="shared" si="46"/>
        <v>5</v>
      </c>
      <c r="D342" s="25">
        <f t="shared" si="47"/>
        <v>2015003</v>
      </c>
    </row>
    <row r="343" spans="1:4" x14ac:dyDescent="0.25">
      <c r="A343" s="12">
        <f>+'Rainfall Data'!B342</f>
        <v>42082</v>
      </c>
      <c r="B343" s="26">
        <f>+'Rainfall Data'!C342</f>
        <v>3.5</v>
      </c>
      <c r="C343" s="26">
        <f t="shared" si="46"/>
        <v>8.5</v>
      </c>
      <c r="D343" s="25">
        <f t="shared" si="47"/>
        <v>2015003</v>
      </c>
    </row>
    <row r="344" spans="1:4" x14ac:dyDescent="0.25">
      <c r="A344" s="12">
        <f>+'Rainfall Data'!B343</f>
        <v>42083</v>
      </c>
      <c r="B344" s="26">
        <f>+'Rainfall Data'!C343</f>
        <v>0</v>
      </c>
      <c r="C344" s="26">
        <f t="shared" si="46"/>
        <v>8.5</v>
      </c>
      <c r="D344" s="25">
        <f t="shared" si="47"/>
        <v>2015003</v>
      </c>
    </row>
    <row r="345" spans="1:4" x14ac:dyDescent="0.25">
      <c r="A345" s="12">
        <f>+'Rainfall Data'!B344</f>
        <v>42084</v>
      </c>
      <c r="B345" s="26">
        <f>+'Rainfall Data'!C344</f>
        <v>0</v>
      </c>
      <c r="C345" s="26">
        <f t="shared" si="46"/>
        <v>8.5</v>
      </c>
      <c r="D345" s="25">
        <f t="shared" si="47"/>
        <v>2015003</v>
      </c>
    </row>
    <row r="346" spans="1:4" x14ac:dyDescent="0.25">
      <c r="A346" s="12">
        <f>+'Rainfall Data'!B345</f>
        <v>42085</v>
      </c>
      <c r="B346" s="26">
        <f>+'Rainfall Data'!C345</f>
        <v>0</v>
      </c>
      <c r="C346" s="26">
        <f t="shared" si="46"/>
        <v>8.5</v>
      </c>
      <c r="D346" s="25">
        <f t="shared" si="47"/>
        <v>2015003</v>
      </c>
    </row>
    <row r="347" spans="1:4" x14ac:dyDescent="0.25">
      <c r="A347" s="12">
        <f>+'Rainfall Data'!B346</f>
        <v>42086</v>
      </c>
      <c r="B347" s="26">
        <f>+'Rainfall Data'!C346</f>
        <v>0</v>
      </c>
      <c r="C347" s="26">
        <f t="shared" si="46"/>
        <v>8.5</v>
      </c>
      <c r="D347" s="25">
        <f t="shared" si="47"/>
        <v>2015003</v>
      </c>
    </row>
    <row r="348" spans="1:4" x14ac:dyDescent="0.25">
      <c r="A348" s="12">
        <f>+'Rainfall Data'!B347</f>
        <v>42087</v>
      </c>
      <c r="B348" s="26">
        <f>+'Rainfall Data'!C347</f>
        <v>0</v>
      </c>
      <c r="C348" s="26">
        <f t="shared" si="46"/>
        <v>8.5</v>
      </c>
      <c r="D348" s="25">
        <f t="shared" si="47"/>
        <v>2015003</v>
      </c>
    </row>
    <row r="349" spans="1:4" x14ac:dyDescent="0.25">
      <c r="A349" s="12">
        <f>+'Rainfall Data'!B348</f>
        <v>42088</v>
      </c>
      <c r="B349" s="26">
        <f>+'Rainfall Data'!C348</f>
        <v>0</v>
      </c>
      <c r="C349" s="26">
        <f t="shared" si="46"/>
        <v>8.5</v>
      </c>
      <c r="D349" s="25">
        <f t="shared" si="47"/>
        <v>2015003</v>
      </c>
    </row>
    <row r="350" spans="1:4" x14ac:dyDescent="0.25">
      <c r="A350" s="12">
        <f>+'Rainfall Data'!B349</f>
        <v>42089</v>
      </c>
      <c r="B350" s="26">
        <f>+'Rainfall Data'!C349</f>
        <v>0</v>
      </c>
      <c r="C350" s="26">
        <f t="shared" si="46"/>
        <v>8.5</v>
      </c>
      <c r="D350" s="25">
        <f t="shared" si="47"/>
        <v>2015003</v>
      </c>
    </row>
    <row r="351" spans="1:4" x14ac:dyDescent="0.25">
      <c r="A351" s="12">
        <f>+'Rainfall Data'!B350</f>
        <v>42090</v>
      </c>
      <c r="B351" s="26">
        <f>+'Rainfall Data'!C350</f>
        <v>0</v>
      </c>
      <c r="C351" s="26">
        <f t="shared" si="46"/>
        <v>8.5</v>
      </c>
      <c r="D351" s="25">
        <f t="shared" si="47"/>
        <v>2015003</v>
      </c>
    </row>
    <row r="352" spans="1:4" x14ac:dyDescent="0.25">
      <c r="A352" s="12">
        <f>+'Rainfall Data'!B351</f>
        <v>42091</v>
      </c>
      <c r="B352" s="26">
        <f>+'Rainfall Data'!C351</f>
        <v>0</v>
      </c>
      <c r="C352" s="26">
        <f t="shared" si="46"/>
        <v>8.5</v>
      </c>
      <c r="D352" s="25">
        <f t="shared" si="47"/>
        <v>2015003</v>
      </c>
    </row>
    <row r="353" spans="1:4" x14ac:dyDescent="0.25">
      <c r="A353" s="12">
        <f>+'Rainfall Data'!B352</f>
        <v>42092</v>
      </c>
      <c r="B353" s="26">
        <f>+'Rainfall Data'!C352</f>
        <v>0</v>
      </c>
      <c r="C353" s="26">
        <f t="shared" si="46"/>
        <v>8.5</v>
      </c>
      <c r="D353" s="25">
        <f t="shared" si="47"/>
        <v>2015003</v>
      </c>
    </row>
    <row r="354" spans="1:4" x14ac:dyDescent="0.25">
      <c r="A354" s="12">
        <f>+'Rainfall Data'!B353</f>
        <v>42093</v>
      </c>
      <c r="B354" s="26">
        <f>+'Rainfall Data'!C353</f>
        <v>0</v>
      </c>
      <c r="C354" s="26">
        <f t="shared" si="46"/>
        <v>8.5</v>
      </c>
      <c r="D354" s="25">
        <f t="shared" si="47"/>
        <v>2015003</v>
      </c>
    </row>
    <row r="355" spans="1:4" x14ac:dyDescent="0.25">
      <c r="A355" s="12">
        <f>+'Rainfall Data'!B354</f>
        <v>42094</v>
      </c>
      <c r="B355" s="26">
        <f>+'Rainfall Data'!C354</f>
        <v>0</v>
      </c>
      <c r="C355" s="26">
        <f t="shared" si="46"/>
        <v>8.5</v>
      </c>
      <c r="D355" s="25">
        <f t="shared" si="47"/>
        <v>2015003</v>
      </c>
    </row>
    <row r="356" spans="1:4" x14ac:dyDescent="0.25">
      <c r="A356" s="12">
        <f>+'Rainfall Data'!B355</f>
        <v>42095</v>
      </c>
      <c r="B356" s="26">
        <f>+'Rainfall Data'!C355</f>
        <v>0</v>
      </c>
      <c r="C356" s="26">
        <f t="shared" ref="C356:C419" si="48">IF(B356="nd",0, IF(B356="T",0,B356))+C355</f>
        <v>8.5</v>
      </c>
      <c r="D356" s="25">
        <f t="shared" ref="D356:D419" si="49">+YEAR(A356)*1000+MONTH(A356)</f>
        <v>2015004</v>
      </c>
    </row>
    <row r="357" spans="1:4" x14ac:dyDescent="0.25">
      <c r="A357" s="12">
        <f>+'Rainfall Data'!B356</f>
        <v>42096</v>
      </c>
      <c r="B357" s="26">
        <f>+'Rainfall Data'!C356</f>
        <v>0</v>
      </c>
      <c r="C357" s="26">
        <f t="shared" si="48"/>
        <v>8.5</v>
      </c>
      <c r="D357" s="25">
        <f t="shared" si="49"/>
        <v>2015004</v>
      </c>
    </row>
    <row r="358" spans="1:4" x14ac:dyDescent="0.25">
      <c r="A358" s="12">
        <f>+'Rainfall Data'!B357</f>
        <v>42097</v>
      </c>
      <c r="B358" s="26">
        <f>+'Rainfall Data'!C357</f>
        <v>0</v>
      </c>
      <c r="C358" s="26">
        <f t="shared" si="48"/>
        <v>8.5</v>
      </c>
      <c r="D358" s="25">
        <f t="shared" si="49"/>
        <v>2015004</v>
      </c>
    </row>
    <row r="359" spans="1:4" x14ac:dyDescent="0.25">
      <c r="A359" s="12">
        <f>+'Rainfall Data'!B358</f>
        <v>42098</v>
      </c>
      <c r="B359" s="26">
        <f>+'Rainfall Data'!C358</f>
        <v>0</v>
      </c>
      <c r="C359" s="26">
        <f t="shared" si="48"/>
        <v>8.5</v>
      </c>
      <c r="D359" s="25">
        <f t="shared" si="49"/>
        <v>2015004</v>
      </c>
    </row>
    <row r="360" spans="1:4" x14ac:dyDescent="0.25">
      <c r="A360" s="12">
        <f>+'Rainfall Data'!B359</f>
        <v>42099</v>
      </c>
      <c r="B360" s="26">
        <f>+'Rainfall Data'!C359</f>
        <v>0</v>
      </c>
      <c r="C360" s="26">
        <f t="shared" si="48"/>
        <v>8.5</v>
      </c>
      <c r="D360" s="25">
        <f t="shared" si="49"/>
        <v>2015004</v>
      </c>
    </row>
    <row r="361" spans="1:4" x14ac:dyDescent="0.25">
      <c r="A361" s="12">
        <f>+'Rainfall Data'!B360</f>
        <v>42100</v>
      </c>
      <c r="B361" s="26">
        <f>+'Rainfall Data'!C360</f>
        <v>7.2</v>
      </c>
      <c r="C361" s="26">
        <f t="shared" si="48"/>
        <v>15.7</v>
      </c>
      <c r="D361" s="25">
        <f t="shared" si="49"/>
        <v>2015004</v>
      </c>
    </row>
    <row r="362" spans="1:4" x14ac:dyDescent="0.25">
      <c r="A362" s="12">
        <f>+'Rainfall Data'!B361</f>
        <v>42101</v>
      </c>
      <c r="B362" s="26">
        <f>+'Rainfall Data'!C361</f>
        <v>0</v>
      </c>
      <c r="C362" s="26">
        <f t="shared" si="48"/>
        <v>15.7</v>
      </c>
      <c r="D362" s="25">
        <f t="shared" si="49"/>
        <v>2015004</v>
      </c>
    </row>
    <row r="363" spans="1:4" x14ac:dyDescent="0.25">
      <c r="A363" s="12">
        <f>+'Rainfall Data'!B362</f>
        <v>42102</v>
      </c>
      <c r="B363" s="26">
        <f>+'Rainfall Data'!C362</f>
        <v>0</v>
      </c>
      <c r="C363" s="26">
        <f t="shared" si="48"/>
        <v>15.7</v>
      </c>
      <c r="D363" s="25">
        <f t="shared" si="49"/>
        <v>2015004</v>
      </c>
    </row>
    <row r="364" spans="1:4" x14ac:dyDescent="0.25">
      <c r="A364" s="12">
        <f>+'Rainfall Data'!B363</f>
        <v>42103</v>
      </c>
      <c r="B364" s="26" t="str">
        <f>+'Rainfall Data'!C363</f>
        <v>T</v>
      </c>
      <c r="C364" s="26">
        <f t="shared" si="48"/>
        <v>15.7</v>
      </c>
      <c r="D364" s="25">
        <f t="shared" si="49"/>
        <v>2015004</v>
      </c>
    </row>
    <row r="365" spans="1:4" x14ac:dyDescent="0.25">
      <c r="A365" s="12">
        <f>+'Rainfall Data'!B364</f>
        <v>42104</v>
      </c>
      <c r="B365" s="26">
        <f>+'Rainfall Data'!C364</f>
        <v>0</v>
      </c>
      <c r="C365" s="26">
        <f t="shared" si="48"/>
        <v>15.7</v>
      </c>
      <c r="D365" s="25">
        <f t="shared" si="49"/>
        <v>2015004</v>
      </c>
    </row>
    <row r="366" spans="1:4" x14ac:dyDescent="0.25">
      <c r="A366" s="12">
        <f>+'Rainfall Data'!B365</f>
        <v>42105</v>
      </c>
      <c r="B366" s="26">
        <f>+'Rainfall Data'!C365</f>
        <v>0</v>
      </c>
      <c r="C366" s="26">
        <f t="shared" si="48"/>
        <v>15.7</v>
      </c>
      <c r="D366" s="25">
        <f t="shared" si="49"/>
        <v>2015004</v>
      </c>
    </row>
    <row r="367" spans="1:4" x14ac:dyDescent="0.25">
      <c r="A367" s="12">
        <f>+'Rainfall Data'!B366</f>
        <v>42106</v>
      </c>
      <c r="B367" s="26">
        <f>+'Rainfall Data'!C366</f>
        <v>0</v>
      </c>
      <c r="C367" s="26">
        <f t="shared" si="48"/>
        <v>15.7</v>
      </c>
      <c r="D367" s="25">
        <f t="shared" si="49"/>
        <v>2015004</v>
      </c>
    </row>
    <row r="368" spans="1:4" x14ac:dyDescent="0.25">
      <c r="A368" s="12">
        <f>+'Rainfall Data'!B367</f>
        <v>42107</v>
      </c>
      <c r="B368" s="26">
        <f>+'Rainfall Data'!C367</f>
        <v>4.2</v>
      </c>
      <c r="C368" s="26">
        <f t="shared" si="48"/>
        <v>19.899999999999999</v>
      </c>
      <c r="D368" s="25">
        <f t="shared" si="49"/>
        <v>2015004</v>
      </c>
    </row>
    <row r="369" spans="1:4" x14ac:dyDescent="0.25">
      <c r="A369" s="12">
        <f>+'Rainfall Data'!B368</f>
        <v>42108</v>
      </c>
      <c r="B369" s="26">
        <f>+'Rainfall Data'!C368</f>
        <v>0</v>
      </c>
      <c r="C369" s="26">
        <f t="shared" si="48"/>
        <v>19.899999999999999</v>
      </c>
      <c r="D369" s="25">
        <f t="shared" si="49"/>
        <v>2015004</v>
      </c>
    </row>
    <row r="370" spans="1:4" x14ac:dyDescent="0.25">
      <c r="A370" s="12">
        <f>+'Rainfall Data'!B369</f>
        <v>42109</v>
      </c>
      <c r="B370" s="26">
        <f>+'Rainfall Data'!C369</f>
        <v>0</v>
      </c>
      <c r="C370" s="26">
        <f t="shared" si="48"/>
        <v>19.899999999999999</v>
      </c>
      <c r="D370" s="25">
        <f t="shared" si="49"/>
        <v>2015004</v>
      </c>
    </row>
    <row r="371" spans="1:4" x14ac:dyDescent="0.25">
      <c r="A371" s="12">
        <f>+'Rainfall Data'!B370</f>
        <v>42110</v>
      </c>
      <c r="B371" s="26">
        <f>+'Rainfall Data'!C370</f>
        <v>0</v>
      </c>
      <c r="C371" s="26">
        <f t="shared" si="48"/>
        <v>19.899999999999999</v>
      </c>
      <c r="D371" s="25">
        <f t="shared" si="49"/>
        <v>2015004</v>
      </c>
    </row>
    <row r="372" spans="1:4" x14ac:dyDescent="0.25">
      <c r="A372" s="12">
        <f>+'Rainfall Data'!B371</f>
        <v>42111</v>
      </c>
      <c r="B372" s="26">
        <f>+'Rainfall Data'!C371</f>
        <v>0</v>
      </c>
      <c r="C372" s="26">
        <f t="shared" si="48"/>
        <v>19.899999999999999</v>
      </c>
      <c r="D372" s="25">
        <f t="shared" si="49"/>
        <v>2015004</v>
      </c>
    </row>
    <row r="373" spans="1:4" x14ac:dyDescent="0.25">
      <c r="A373" s="12">
        <f>+'Rainfall Data'!B372</f>
        <v>42112</v>
      </c>
      <c r="B373" s="26">
        <f>+'Rainfall Data'!C372</f>
        <v>0</v>
      </c>
      <c r="C373" s="26">
        <f t="shared" si="48"/>
        <v>19.899999999999999</v>
      </c>
      <c r="D373" s="25">
        <f t="shared" si="49"/>
        <v>2015004</v>
      </c>
    </row>
    <row r="374" spans="1:4" x14ac:dyDescent="0.25">
      <c r="A374" s="12">
        <f>+'Rainfall Data'!B373</f>
        <v>42113</v>
      </c>
      <c r="B374" s="26">
        <f>+'Rainfall Data'!C373</f>
        <v>0</v>
      </c>
      <c r="C374" s="26">
        <f t="shared" si="48"/>
        <v>19.899999999999999</v>
      </c>
      <c r="D374" s="25">
        <f t="shared" si="49"/>
        <v>2015004</v>
      </c>
    </row>
    <row r="375" spans="1:4" x14ac:dyDescent="0.25">
      <c r="A375" s="12">
        <f>+'Rainfall Data'!B374</f>
        <v>42114</v>
      </c>
      <c r="B375" s="26">
        <f>+'Rainfall Data'!C374</f>
        <v>0</v>
      </c>
      <c r="C375" s="26">
        <f t="shared" si="48"/>
        <v>19.899999999999999</v>
      </c>
      <c r="D375" s="25">
        <f t="shared" si="49"/>
        <v>2015004</v>
      </c>
    </row>
    <row r="376" spans="1:4" x14ac:dyDescent="0.25">
      <c r="A376" s="12">
        <f>+'Rainfall Data'!B375</f>
        <v>42115</v>
      </c>
      <c r="B376" s="26">
        <f>+'Rainfall Data'!C375</f>
        <v>20.100000000000001</v>
      </c>
      <c r="C376" s="26">
        <f t="shared" si="48"/>
        <v>40</v>
      </c>
      <c r="D376" s="25">
        <f t="shared" si="49"/>
        <v>2015004</v>
      </c>
    </row>
    <row r="377" spans="1:4" x14ac:dyDescent="0.25">
      <c r="A377" s="12">
        <f>+'Rainfall Data'!B376</f>
        <v>42116</v>
      </c>
      <c r="B377" s="26">
        <f>+'Rainfall Data'!C376</f>
        <v>0</v>
      </c>
      <c r="C377" s="26">
        <f t="shared" si="48"/>
        <v>40</v>
      </c>
      <c r="D377" s="25">
        <f t="shared" si="49"/>
        <v>2015004</v>
      </c>
    </row>
    <row r="378" spans="1:4" x14ac:dyDescent="0.25">
      <c r="A378" s="12">
        <f>+'Rainfall Data'!B377</f>
        <v>42117</v>
      </c>
      <c r="B378" s="26">
        <f>+'Rainfall Data'!C377</f>
        <v>0</v>
      </c>
      <c r="C378" s="26">
        <f t="shared" si="48"/>
        <v>40</v>
      </c>
      <c r="D378" s="25">
        <f t="shared" si="49"/>
        <v>2015004</v>
      </c>
    </row>
    <row r="379" spans="1:4" x14ac:dyDescent="0.25">
      <c r="A379" s="12">
        <f>+'Rainfall Data'!B378</f>
        <v>42118</v>
      </c>
      <c r="B379" s="26">
        <f>+'Rainfall Data'!C378</f>
        <v>0</v>
      </c>
      <c r="C379" s="26">
        <f t="shared" si="48"/>
        <v>40</v>
      </c>
      <c r="D379" s="25">
        <f t="shared" si="49"/>
        <v>2015004</v>
      </c>
    </row>
    <row r="380" spans="1:4" x14ac:dyDescent="0.25">
      <c r="A380" s="12">
        <f>+'Rainfall Data'!B379</f>
        <v>42119</v>
      </c>
      <c r="B380" s="26">
        <f>+'Rainfall Data'!C379</f>
        <v>2.4</v>
      </c>
      <c r="C380" s="26">
        <f t="shared" si="48"/>
        <v>42.4</v>
      </c>
      <c r="D380" s="25">
        <f t="shared" si="49"/>
        <v>2015004</v>
      </c>
    </row>
    <row r="381" spans="1:4" x14ac:dyDescent="0.25">
      <c r="A381" s="12">
        <f>+'Rainfall Data'!B380</f>
        <v>42120</v>
      </c>
      <c r="B381" s="26">
        <f>+'Rainfall Data'!C380</f>
        <v>0</v>
      </c>
      <c r="C381" s="26">
        <f t="shared" si="48"/>
        <v>42.4</v>
      </c>
      <c r="D381" s="25">
        <f t="shared" si="49"/>
        <v>2015004</v>
      </c>
    </row>
    <row r="382" spans="1:4" x14ac:dyDescent="0.25">
      <c r="A382" s="12">
        <f>+'Rainfall Data'!B381</f>
        <v>42121</v>
      </c>
      <c r="B382" s="26">
        <f>+'Rainfall Data'!C381</f>
        <v>0</v>
      </c>
      <c r="C382" s="26">
        <f t="shared" si="48"/>
        <v>42.4</v>
      </c>
      <c r="D382" s="25">
        <f t="shared" si="49"/>
        <v>2015004</v>
      </c>
    </row>
    <row r="383" spans="1:4" x14ac:dyDescent="0.25">
      <c r="A383" s="12">
        <f>+'Rainfall Data'!B382</f>
        <v>42122</v>
      </c>
      <c r="B383" s="26">
        <f>+'Rainfall Data'!C382</f>
        <v>0</v>
      </c>
      <c r="C383" s="26">
        <f t="shared" si="48"/>
        <v>42.4</v>
      </c>
      <c r="D383" s="25">
        <f t="shared" si="49"/>
        <v>2015004</v>
      </c>
    </row>
    <row r="384" spans="1:4" x14ac:dyDescent="0.25">
      <c r="A384" s="12">
        <f>+'Rainfall Data'!B383</f>
        <v>42123</v>
      </c>
      <c r="B384" s="26">
        <f>+'Rainfall Data'!C383</f>
        <v>0</v>
      </c>
      <c r="C384" s="26">
        <f t="shared" si="48"/>
        <v>42.4</v>
      </c>
      <c r="D384" s="25">
        <f t="shared" si="49"/>
        <v>2015004</v>
      </c>
    </row>
    <row r="385" spans="1:4" x14ac:dyDescent="0.25">
      <c r="A385" s="12">
        <f>+'Rainfall Data'!B384</f>
        <v>42124</v>
      </c>
      <c r="B385" s="26" t="str">
        <f>+'Rainfall Data'!C384</f>
        <v>T</v>
      </c>
      <c r="C385" s="26">
        <f t="shared" si="48"/>
        <v>42.4</v>
      </c>
      <c r="D385" s="25">
        <f t="shared" si="49"/>
        <v>2015004</v>
      </c>
    </row>
    <row r="386" spans="1:4" x14ac:dyDescent="0.25">
      <c r="A386" s="12">
        <f>+'Rainfall Data'!B385</f>
        <v>42125</v>
      </c>
      <c r="B386" s="26">
        <f>+'Rainfall Data'!C385</f>
        <v>0</v>
      </c>
      <c r="C386" s="26">
        <f t="shared" si="48"/>
        <v>42.4</v>
      </c>
      <c r="D386" s="25">
        <f t="shared" si="49"/>
        <v>2015005</v>
      </c>
    </row>
    <row r="387" spans="1:4" x14ac:dyDescent="0.25">
      <c r="A387" s="12">
        <f>+'Rainfall Data'!B386</f>
        <v>42126</v>
      </c>
      <c r="B387" s="26">
        <f>+'Rainfall Data'!C386</f>
        <v>0</v>
      </c>
      <c r="C387" s="26">
        <f t="shared" si="48"/>
        <v>42.4</v>
      </c>
      <c r="D387" s="25">
        <f t="shared" si="49"/>
        <v>2015005</v>
      </c>
    </row>
    <row r="388" spans="1:4" x14ac:dyDescent="0.25">
      <c r="A388" s="12">
        <f>+'Rainfall Data'!B387</f>
        <v>42127</v>
      </c>
      <c r="B388" s="26">
        <f>+'Rainfall Data'!C387</f>
        <v>0</v>
      </c>
      <c r="C388" s="26">
        <f t="shared" si="48"/>
        <v>42.4</v>
      </c>
      <c r="D388" s="25">
        <f t="shared" si="49"/>
        <v>2015005</v>
      </c>
    </row>
    <row r="389" spans="1:4" x14ac:dyDescent="0.25">
      <c r="A389" s="12">
        <f>+'Rainfall Data'!B388</f>
        <v>42128</v>
      </c>
      <c r="B389" s="26">
        <f>+'Rainfall Data'!C388</f>
        <v>0</v>
      </c>
      <c r="C389" s="26">
        <f t="shared" si="48"/>
        <v>42.4</v>
      </c>
      <c r="D389" s="25">
        <f t="shared" si="49"/>
        <v>2015005</v>
      </c>
    </row>
    <row r="390" spans="1:4" x14ac:dyDescent="0.25">
      <c r="A390" s="12">
        <f>+'Rainfall Data'!B389</f>
        <v>42129</v>
      </c>
      <c r="B390" s="26">
        <f>+'Rainfall Data'!C389</f>
        <v>4</v>
      </c>
      <c r="C390" s="26">
        <f t="shared" si="48"/>
        <v>46.4</v>
      </c>
      <c r="D390" s="25">
        <f t="shared" si="49"/>
        <v>2015005</v>
      </c>
    </row>
    <row r="391" spans="1:4" x14ac:dyDescent="0.25">
      <c r="A391" s="12">
        <f>+'Rainfall Data'!B390</f>
        <v>42130</v>
      </c>
      <c r="B391" s="26">
        <f>+'Rainfall Data'!C390</f>
        <v>0</v>
      </c>
      <c r="C391" s="26">
        <f t="shared" si="48"/>
        <v>46.4</v>
      </c>
      <c r="D391" s="25">
        <f t="shared" si="49"/>
        <v>2015005</v>
      </c>
    </row>
    <row r="392" spans="1:4" x14ac:dyDescent="0.25">
      <c r="A392" s="12">
        <f>+'Rainfall Data'!B391</f>
        <v>42131</v>
      </c>
      <c r="B392" s="26">
        <f>+'Rainfall Data'!C391</f>
        <v>32</v>
      </c>
      <c r="C392" s="26">
        <f t="shared" si="48"/>
        <v>78.400000000000006</v>
      </c>
      <c r="D392" s="25">
        <f t="shared" si="49"/>
        <v>2015005</v>
      </c>
    </row>
    <row r="393" spans="1:4" x14ac:dyDescent="0.25">
      <c r="A393" s="12">
        <f>+'Rainfall Data'!B392</f>
        <v>42132</v>
      </c>
      <c r="B393" s="26" t="str">
        <f>+'Rainfall Data'!C392</f>
        <v>T</v>
      </c>
      <c r="C393" s="26">
        <f t="shared" si="48"/>
        <v>78.400000000000006</v>
      </c>
      <c r="D393" s="25">
        <f t="shared" si="49"/>
        <v>2015005</v>
      </c>
    </row>
    <row r="394" spans="1:4" x14ac:dyDescent="0.25">
      <c r="A394" s="12">
        <f>+'Rainfall Data'!B393</f>
        <v>42133</v>
      </c>
      <c r="B394" s="26">
        <f>+'Rainfall Data'!C393</f>
        <v>0</v>
      </c>
      <c r="C394" s="26">
        <f t="shared" si="48"/>
        <v>78.400000000000006</v>
      </c>
      <c r="D394" s="25">
        <f t="shared" si="49"/>
        <v>2015005</v>
      </c>
    </row>
    <row r="395" spans="1:4" x14ac:dyDescent="0.25">
      <c r="A395" s="12">
        <f>+'Rainfall Data'!B394</f>
        <v>42134</v>
      </c>
      <c r="B395" s="26" t="str">
        <f>+'Rainfall Data'!C394</f>
        <v>T</v>
      </c>
      <c r="C395" s="26">
        <f t="shared" si="48"/>
        <v>78.400000000000006</v>
      </c>
      <c r="D395" s="25">
        <f t="shared" si="49"/>
        <v>2015005</v>
      </c>
    </row>
    <row r="396" spans="1:4" x14ac:dyDescent="0.25">
      <c r="A396" s="12">
        <f>+'Rainfall Data'!B395</f>
        <v>42135</v>
      </c>
      <c r="B396" s="26">
        <f>+'Rainfall Data'!C395</f>
        <v>2</v>
      </c>
      <c r="C396" s="26">
        <f t="shared" si="48"/>
        <v>80.400000000000006</v>
      </c>
      <c r="D396" s="25">
        <f t="shared" si="49"/>
        <v>2015005</v>
      </c>
    </row>
    <row r="397" spans="1:4" x14ac:dyDescent="0.25">
      <c r="A397" s="12">
        <f>+'Rainfall Data'!B396</f>
        <v>42136</v>
      </c>
      <c r="B397" s="26">
        <f>+'Rainfall Data'!C396</f>
        <v>25.6</v>
      </c>
      <c r="C397" s="26">
        <f t="shared" si="48"/>
        <v>106</v>
      </c>
      <c r="D397" s="25">
        <f t="shared" si="49"/>
        <v>2015005</v>
      </c>
    </row>
    <row r="398" spans="1:4" x14ac:dyDescent="0.25">
      <c r="A398" s="12">
        <f>+'Rainfall Data'!B397</f>
        <v>42137</v>
      </c>
      <c r="B398" s="26">
        <f>+'Rainfall Data'!C397</f>
        <v>0</v>
      </c>
      <c r="C398" s="26">
        <f t="shared" si="48"/>
        <v>106</v>
      </c>
      <c r="D398" s="25">
        <f t="shared" si="49"/>
        <v>2015005</v>
      </c>
    </row>
    <row r="399" spans="1:4" x14ac:dyDescent="0.25">
      <c r="A399" s="12">
        <f>+'Rainfall Data'!B398</f>
        <v>42138</v>
      </c>
      <c r="B399" s="26" t="str">
        <f>+'Rainfall Data'!C398</f>
        <v>T</v>
      </c>
      <c r="C399" s="26">
        <f t="shared" si="48"/>
        <v>106</v>
      </c>
      <c r="D399" s="25">
        <f t="shared" si="49"/>
        <v>2015005</v>
      </c>
    </row>
    <row r="400" spans="1:4" x14ac:dyDescent="0.25">
      <c r="A400" s="12">
        <f>+'Rainfall Data'!B399</f>
        <v>42139</v>
      </c>
      <c r="B400" s="26" t="str">
        <f>+'Rainfall Data'!C399</f>
        <v>T</v>
      </c>
      <c r="C400" s="26">
        <f t="shared" si="48"/>
        <v>106</v>
      </c>
      <c r="D400" s="25">
        <f t="shared" si="49"/>
        <v>2015005</v>
      </c>
    </row>
    <row r="401" spans="1:4" x14ac:dyDescent="0.25">
      <c r="A401" s="12">
        <f>+'Rainfall Data'!B400</f>
        <v>42140</v>
      </c>
      <c r="B401" s="26">
        <f>+'Rainfall Data'!C400</f>
        <v>18</v>
      </c>
      <c r="C401" s="26">
        <f t="shared" si="48"/>
        <v>124</v>
      </c>
      <c r="D401" s="25">
        <f t="shared" si="49"/>
        <v>2015005</v>
      </c>
    </row>
    <row r="402" spans="1:4" x14ac:dyDescent="0.25">
      <c r="A402" s="12">
        <f>+'Rainfall Data'!B401</f>
        <v>42141</v>
      </c>
      <c r="B402" s="26">
        <f>+'Rainfall Data'!C401</f>
        <v>68.599999999999994</v>
      </c>
      <c r="C402" s="26">
        <f t="shared" si="48"/>
        <v>192.6</v>
      </c>
      <c r="D402" s="25">
        <f t="shared" si="49"/>
        <v>2015005</v>
      </c>
    </row>
    <row r="403" spans="1:4" x14ac:dyDescent="0.25">
      <c r="A403" s="12">
        <f>+'Rainfall Data'!B402</f>
        <v>42142</v>
      </c>
      <c r="B403" s="26">
        <f>+'Rainfall Data'!C402</f>
        <v>0</v>
      </c>
      <c r="C403" s="26">
        <f t="shared" si="48"/>
        <v>192.6</v>
      </c>
      <c r="D403" s="25">
        <f t="shared" si="49"/>
        <v>2015005</v>
      </c>
    </row>
    <row r="404" spans="1:4" x14ac:dyDescent="0.25">
      <c r="A404" s="12">
        <f>+'Rainfall Data'!B403</f>
        <v>42143</v>
      </c>
      <c r="B404" s="26">
        <f>+'Rainfall Data'!C403</f>
        <v>0</v>
      </c>
      <c r="C404" s="26">
        <f t="shared" si="48"/>
        <v>192.6</v>
      </c>
      <c r="D404" s="25">
        <f t="shared" si="49"/>
        <v>2015005</v>
      </c>
    </row>
    <row r="405" spans="1:4" x14ac:dyDescent="0.25">
      <c r="A405" s="12">
        <f>+'Rainfall Data'!B404</f>
        <v>42144</v>
      </c>
      <c r="B405" s="26">
        <f>+'Rainfall Data'!C404</f>
        <v>19.5</v>
      </c>
      <c r="C405" s="26">
        <f t="shared" si="48"/>
        <v>212.1</v>
      </c>
      <c r="D405" s="25">
        <f t="shared" si="49"/>
        <v>2015005</v>
      </c>
    </row>
    <row r="406" spans="1:4" x14ac:dyDescent="0.25">
      <c r="A406" s="12">
        <f>+'Rainfall Data'!B405</f>
        <v>42145</v>
      </c>
      <c r="B406" s="26">
        <f>+'Rainfall Data'!C405</f>
        <v>20.5</v>
      </c>
      <c r="C406" s="26">
        <f t="shared" si="48"/>
        <v>232.6</v>
      </c>
      <c r="D406" s="25">
        <f t="shared" si="49"/>
        <v>2015005</v>
      </c>
    </row>
    <row r="407" spans="1:4" x14ac:dyDescent="0.25">
      <c r="A407" s="12">
        <f>+'Rainfall Data'!B406</f>
        <v>42146</v>
      </c>
      <c r="B407" s="26">
        <f>+'Rainfall Data'!C406</f>
        <v>8</v>
      </c>
      <c r="C407" s="26">
        <f t="shared" si="48"/>
        <v>240.6</v>
      </c>
      <c r="D407" s="25">
        <f t="shared" si="49"/>
        <v>2015005</v>
      </c>
    </row>
    <row r="408" spans="1:4" x14ac:dyDescent="0.25">
      <c r="A408" s="12">
        <f>+'Rainfall Data'!B407</f>
        <v>42147</v>
      </c>
      <c r="B408" s="26">
        <f>+'Rainfall Data'!C407</f>
        <v>10</v>
      </c>
      <c r="C408" s="26">
        <f t="shared" si="48"/>
        <v>250.6</v>
      </c>
      <c r="D408" s="25">
        <f t="shared" si="49"/>
        <v>2015005</v>
      </c>
    </row>
    <row r="409" spans="1:4" x14ac:dyDescent="0.25">
      <c r="A409" s="12">
        <f>+'Rainfall Data'!B408</f>
        <v>42148</v>
      </c>
      <c r="B409" s="26" t="str">
        <f>+'Rainfall Data'!C408</f>
        <v>T</v>
      </c>
      <c r="C409" s="26">
        <f t="shared" si="48"/>
        <v>250.6</v>
      </c>
      <c r="D409" s="25">
        <f t="shared" si="49"/>
        <v>2015005</v>
      </c>
    </row>
    <row r="410" spans="1:4" x14ac:dyDescent="0.25">
      <c r="A410" s="12">
        <f>+'Rainfall Data'!B409</f>
        <v>42149</v>
      </c>
      <c r="B410" s="26">
        <f>+'Rainfall Data'!C409</f>
        <v>0</v>
      </c>
      <c r="C410" s="26">
        <f t="shared" si="48"/>
        <v>250.6</v>
      </c>
      <c r="D410" s="25">
        <f t="shared" si="49"/>
        <v>2015005</v>
      </c>
    </row>
    <row r="411" spans="1:4" x14ac:dyDescent="0.25">
      <c r="A411" s="12">
        <f>+'Rainfall Data'!B410</f>
        <v>42150</v>
      </c>
      <c r="B411" s="26">
        <f>+'Rainfall Data'!C410</f>
        <v>0</v>
      </c>
      <c r="C411" s="26">
        <f t="shared" si="48"/>
        <v>250.6</v>
      </c>
      <c r="D411" s="25">
        <f t="shared" si="49"/>
        <v>2015005</v>
      </c>
    </row>
    <row r="412" spans="1:4" x14ac:dyDescent="0.25">
      <c r="A412" s="12">
        <f>+'Rainfall Data'!B411</f>
        <v>42151</v>
      </c>
      <c r="B412" s="26">
        <f>+'Rainfall Data'!C411</f>
        <v>0</v>
      </c>
      <c r="C412" s="26">
        <f t="shared" si="48"/>
        <v>250.6</v>
      </c>
      <c r="D412" s="25">
        <f t="shared" si="49"/>
        <v>2015005</v>
      </c>
    </row>
    <row r="413" spans="1:4" x14ac:dyDescent="0.25">
      <c r="A413" s="12">
        <f>+'Rainfall Data'!B412</f>
        <v>42152</v>
      </c>
      <c r="B413" s="26">
        <f>+'Rainfall Data'!C412</f>
        <v>13.5</v>
      </c>
      <c r="C413" s="26">
        <f t="shared" si="48"/>
        <v>264.10000000000002</v>
      </c>
      <c r="D413" s="25">
        <f t="shared" si="49"/>
        <v>2015005</v>
      </c>
    </row>
    <row r="414" spans="1:4" x14ac:dyDescent="0.25">
      <c r="A414" s="12">
        <f>+'Rainfall Data'!B413</f>
        <v>42153</v>
      </c>
      <c r="B414" s="26" t="str">
        <f>+'Rainfall Data'!C413</f>
        <v>T</v>
      </c>
      <c r="C414" s="26">
        <f t="shared" si="48"/>
        <v>264.10000000000002</v>
      </c>
      <c r="D414" s="25">
        <f t="shared" si="49"/>
        <v>2015005</v>
      </c>
    </row>
    <row r="415" spans="1:4" x14ac:dyDescent="0.25">
      <c r="A415" s="12">
        <f>+'Rainfall Data'!B414</f>
        <v>42154</v>
      </c>
      <c r="B415" s="26">
        <f>+'Rainfall Data'!C414</f>
        <v>0</v>
      </c>
      <c r="C415" s="26">
        <f t="shared" si="48"/>
        <v>264.10000000000002</v>
      </c>
      <c r="D415" s="25">
        <f t="shared" si="49"/>
        <v>2015005</v>
      </c>
    </row>
    <row r="416" spans="1:4" x14ac:dyDescent="0.25">
      <c r="A416" s="12">
        <f>+'Rainfall Data'!B415</f>
        <v>42155</v>
      </c>
      <c r="B416" s="26">
        <f>+'Rainfall Data'!C415</f>
        <v>13</v>
      </c>
      <c r="C416" s="26">
        <f t="shared" si="48"/>
        <v>277.10000000000002</v>
      </c>
      <c r="D416" s="25">
        <f t="shared" si="49"/>
        <v>2015005</v>
      </c>
    </row>
    <row r="417" spans="1:4" x14ac:dyDescent="0.25">
      <c r="A417" s="12">
        <f>+'Rainfall Data'!B416</f>
        <v>42156</v>
      </c>
      <c r="B417" s="26">
        <f>+'Rainfall Data'!C416</f>
        <v>16</v>
      </c>
      <c r="C417" s="26">
        <f t="shared" si="48"/>
        <v>293.10000000000002</v>
      </c>
      <c r="D417" s="25">
        <f t="shared" si="49"/>
        <v>2015006</v>
      </c>
    </row>
    <row r="418" spans="1:4" x14ac:dyDescent="0.25">
      <c r="A418" s="12">
        <f>+'Rainfall Data'!B417</f>
        <v>42157</v>
      </c>
      <c r="B418" s="26">
        <f>+'Rainfall Data'!C417</f>
        <v>0</v>
      </c>
      <c r="C418" s="26">
        <f t="shared" si="48"/>
        <v>293.10000000000002</v>
      </c>
      <c r="D418" s="25">
        <f t="shared" si="49"/>
        <v>2015006</v>
      </c>
    </row>
    <row r="419" spans="1:4" x14ac:dyDescent="0.25">
      <c r="A419" s="12">
        <f>+'Rainfall Data'!B418</f>
        <v>42158</v>
      </c>
      <c r="B419" s="26">
        <f>+'Rainfall Data'!C418</f>
        <v>29.6</v>
      </c>
      <c r="C419" s="26">
        <f t="shared" si="48"/>
        <v>322.70000000000005</v>
      </c>
      <c r="D419" s="25">
        <f t="shared" si="49"/>
        <v>2015006</v>
      </c>
    </row>
    <row r="420" spans="1:4" x14ac:dyDescent="0.25">
      <c r="A420" s="12">
        <f>+'Rainfall Data'!B419</f>
        <v>42159</v>
      </c>
      <c r="B420" s="26">
        <f>+'Rainfall Data'!C419</f>
        <v>13</v>
      </c>
      <c r="C420" s="26">
        <f t="shared" ref="C420:C445" si="50">IF(B420="nd",0, IF(B420="T",0,B420))+C419</f>
        <v>335.70000000000005</v>
      </c>
      <c r="D420" s="25">
        <f t="shared" ref="D420:D445" si="51">+YEAR(A420)*1000+MONTH(A420)</f>
        <v>2015006</v>
      </c>
    </row>
    <row r="421" spans="1:4" x14ac:dyDescent="0.25">
      <c r="A421" s="12">
        <f>+'Rainfall Data'!B420</f>
        <v>42160</v>
      </c>
      <c r="B421" s="26" t="str">
        <f>+'Rainfall Data'!C420</f>
        <v>T</v>
      </c>
      <c r="C421" s="26">
        <f t="shared" si="50"/>
        <v>335.70000000000005</v>
      </c>
      <c r="D421" s="25">
        <f t="shared" si="51"/>
        <v>2015006</v>
      </c>
    </row>
    <row r="422" spans="1:4" x14ac:dyDescent="0.25">
      <c r="A422" s="12">
        <f>+'Rainfall Data'!B421</f>
        <v>42161</v>
      </c>
      <c r="B422" s="26">
        <f>+'Rainfall Data'!C421</f>
        <v>0</v>
      </c>
      <c r="C422" s="26">
        <f t="shared" si="50"/>
        <v>335.70000000000005</v>
      </c>
      <c r="D422" s="25">
        <f t="shared" si="51"/>
        <v>2015006</v>
      </c>
    </row>
    <row r="423" spans="1:4" x14ac:dyDescent="0.25">
      <c r="A423" s="12">
        <f>+'Rainfall Data'!B422</f>
        <v>42162</v>
      </c>
      <c r="B423" s="26">
        <f>+'Rainfall Data'!C422</f>
        <v>13</v>
      </c>
      <c r="C423" s="26">
        <f t="shared" si="50"/>
        <v>348.70000000000005</v>
      </c>
      <c r="D423" s="25">
        <f t="shared" si="51"/>
        <v>2015006</v>
      </c>
    </row>
    <row r="424" spans="1:4" x14ac:dyDescent="0.25">
      <c r="A424" s="12">
        <f>+'Rainfall Data'!B423</f>
        <v>42163</v>
      </c>
      <c r="B424" s="26">
        <f>+'Rainfall Data'!C423</f>
        <v>0</v>
      </c>
      <c r="C424" s="26">
        <f t="shared" si="50"/>
        <v>348.70000000000005</v>
      </c>
      <c r="D424" s="25">
        <f t="shared" si="51"/>
        <v>2015006</v>
      </c>
    </row>
    <row r="425" spans="1:4" x14ac:dyDescent="0.25">
      <c r="A425" s="12">
        <f>+'Rainfall Data'!B424</f>
        <v>42164</v>
      </c>
      <c r="B425" s="26">
        <f>+'Rainfall Data'!C424</f>
        <v>54.6</v>
      </c>
      <c r="C425" s="26">
        <f t="shared" si="50"/>
        <v>403.30000000000007</v>
      </c>
      <c r="D425" s="25">
        <f t="shared" si="51"/>
        <v>2015006</v>
      </c>
    </row>
    <row r="426" spans="1:4" x14ac:dyDescent="0.25">
      <c r="A426" s="12">
        <f>+'Rainfall Data'!B425</f>
        <v>42165</v>
      </c>
      <c r="B426" s="26">
        <f>+'Rainfall Data'!C425</f>
        <v>0</v>
      </c>
      <c r="C426" s="26">
        <f t="shared" si="50"/>
        <v>403.30000000000007</v>
      </c>
      <c r="D426" s="25">
        <f t="shared" si="51"/>
        <v>2015006</v>
      </c>
    </row>
    <row r="427" spans="1:4" x14ac:dyDescent="0.25">
      <c r="A427" s="12">
        <f>+'Rainfall Data'!B426</f>
        <v>42166</v>
      </c>
      <c r="B427" s="26">
        <f>+'Rainfall Data'!C426</f>
        <v>0</v>
      </c>
      <c r="C427" s="26">
        <f t="shared" si="50"/>
        <v>403.30000000000007</v>
      </c>
      <c r="D427" s="25">
        <f t="shared" si="51"/>
        <v>2015006</v>
      </c>
    </row>
    <row r="428" spans="1:4" x14ac:dyDescent="0.25">
      <c r="A428" s="12">
        <f>+'Rainfall Data'!B427</f>
        <v>42167</v>
      </c>
      <c r="B428" s="26">
        <f>+'Rainfall Data'!C427</f>
        <v>4.5</v>
      </c>
      <c r="C428" s="26">
        <f t="shared" si="50"/>
        <v>407.80000000000007</v>
      </c>
      <c r="D428" s="25">
        <f t="shared" si="51"/>
        <v>2015006</v>
      </c>
    </row>
    <row r="429" spans="1:4" x14ac:dyDescent="0.25">
      <c r="A429" s="12">
        <f>+'Rainfall Data'!B428</f>
        <v>42168</v>
      </c>
      <c r="B429" s="26">
        <f>+'Rainfall Data'!C428</f>
        <v>42.1</v>
      </c>
      <c r="C429" s="26">
        <f t="shared" si="50"/>
        <v>449.90000000000009</v>
      </c>
      <c r="D429" s="25">
        <f t="shared" si="51"/>
        <v>2015006</v>
      </c>
    </row>
    <row r="430" spans="1:4" x14ac:dyDescent="0.25">
      <c r="A430" s="12">
        <f>+'Rainfall Data'!B429</f>
        <v>42169</v>
      </c>
      <c r="B430" s="26">
        <f>+'Rainfall Data'!C429</f>
        <v>0</v>
      </c>
      <c r="C430" s="26">
        <f t="shared" si="50"/>
        <v>449.90000000000009</v>
      </c>
      <c r="D430" s="25">
        <f t="shared" si="51"/>
        <v>2015006</v>
      </c>
    </row>
    <row r="431" spans="1:4" x14ac:dyDescent="0.25">
      <c r="A431" s="12">
        <f>+'Rainfall Data'!B430</f>
        <v>42170</v>
      </c>
      <c r="B431" s="26">
        <f>+'Rainfall Data'!C430</f>
        <v>0</v>
      </c>
      <c r="C431" s="26">
        <f t="shared" si="50"/>
        <v>449.90000000000009</v>
      </c>
      <c r="D431" s="25">
        <f t="shared" si="51"/>
        <v>2015006</v>
      </c>
    </row>
    <row r="432" spans="1:4" x14ac:dyDescent="0.25">
      <c r="A432" s="12">
        <f>+'Rainfall Data'!B431</f>
        <v>42171</v>
      </c>
      <c r="B432" s="26" t="str">
        <f>+'Rainfall Data'!C431</f>
        <v>T</v>
      </c>
      <c r="C432" s="26">
        <f t="shared" si="50"/>
        <v>449.90000000000009</v>
      </c>
      <c r="D432" s="25">
        <f t="shared" si="51"/>
        <v>2015006</v>
      </c>
    </row>
    <row r="433" spans="1:4" x14ac:dyDescent="0.25">
      <c r="A433" s="12">
        <f>+'Rainfall Data'!B432</f>
        <v>42172</v>
      </c>
      <c r="B433" s="26">
        <f>+'Rainfall Data'!C432</f>
        <v>24.5</v>
      </c>
      <c r="C433" s="26">
        <f t="shared" si="50"/>
        <v>474.40000000000009</v>
      </c>
      <c r="D433" s="25">
        <f t="shared" si="51"/>
        <v>2015006</v>
      </c>
    </row>
    <row r="434" spans="1:4" x14ac:dyDescent="0.25">
      <c r="A434" s="12">
        <f>+'Rainfall Data'!B433</f>
        <v>42173</v>
      </c>
      <c r="B434" s="26">
        <f>+'Rainfall Data'!C433</f>
        <v>30.5</v>
      </c>
      <c r="C434" s="26">
        <f t="shared" si="50"/>
        <v>504.90000000000009</v>
      </c>
      <c r="D434" s="25">
        <f t="shared" si="51"/>
        <v>2015006</v>
      </c>
    </row>
    <row r="435" spans="1:4" x14ac:dyDescent="0.25">
      <c r="A435" s="12">
        <f>+'Rainfall Data'!B434</f>
        <v>42174</v>
      </c>
      <c r="B435" s="26">
        <f>+'Rainfall Data'!C434</f>
        <v>0</v>
      </c>
      <c r="C435" s="26">
        <f t="shared" si="50"/>
        <v>504.90000000000009</v>
      </c>
      <c r="D435" s="25">
        <f t="shared" si="51"/>
        <v>2015006</v>
      </c>
    </row>
    <row r="436" spans="1:4" x14ac:dyDescent="0.25">
      <c r="A436" s="12">
        <f>+'Rainfall Data'!B435</f>
        <v>42175</v>
      </c>
      <c r="B436" s="26" t="str">
        <f>+'Rainfall Data'!C435</f>
        <v>T</v>
      </c>
      <c r="C436" s="26">
        <f t="shared" si="50"/>
        <v>504.90000000000009</v>
      </c>
      <c r="D436" s="25">
        <f t="shared" si="51"/>
        <v>2015006</v>
      </c>
    </row>
    <row r="437" spans="1:4" x14ac:dyDescent="0.25">
      <c r="A437" s="12">
        <f>+'Rainfall Data'!B436</f>
        <v>42176</v>
      </c>
      <c r="B437" s="26">
        <f>+'Rainfall Data'!C436</f>
        <v>10</v>
      </c>
      <c r="C437" s="26">
        <f t="shared" si="50"/>
        <v>514.90000000000009</v>
      </c>
      <c r="D437" s="25">
        <f t="shared" si="51"/>
        <v>2015006</v>
      </c>
    </row>
    <row r="438" spans="1:4" x14ac:dyDescent="0.25">
      <c r="A438" s="12">
        <f>+'Rainfall Data'!B437</f>
        <v>42177</v>
      </c>
      <c r="B438" s="26">
        <f>+'Rainfall Data'!C437</f>
        <v>4</v>
      </c>
      <c r="C438" s="26">
        <f t="shared" si="50"/>
        <v>518.90000000000009</v>
      </c>
      <c r="D438" s="25">
        <f t="shared" si="51"/>
        <v>2015006</v>
      </c>
    </row>
    <row r="439" spans="1:4" x14ac:dyDescent="0.25">
      <c r="A439" s="12">
        <f>+'Rainfall Data'!B438</f>
        <v>42178</v>
      </c>
      <c r="B439" s="26">
        <f>+'Rainfall Data'!C438</f>
        <v>0</v>
      </c>
      <c r="C439" s="26">
        <f t="shared" si="50"/>
        <v>518.90000000000009</v>
      </c>
      <c r="D439" s="25">
        <f t="shared" si="51"/>
        <v>2015006</v>
      </c>
    </row>
    <row r="440" spans="1:4" x14ac:dyDescent="0.25">
      <c r="A440" s="12">
        <f>+'Rainfall Data'!B439</f>
        <v>42179</v>
      </c>
      <c r="B440" s="26">
        <f>+'Rainfall Data'!C439</f>
        <v>10</v>
      </c>
      <c r="C440" s="26">
        <f t="shared" si="50"/>
        <v>528.90000000000009</v>
      </c>
      <c r="D440" s="25">
        <f t="shared" si="51"/>
        <v>2015006</v>
      </c>
    </row>
    <row r="441" spans="1:4" x14ac:dyDescent="0.25">
      <c r="A441" s="12">
        <f>+'Rainfall Data'!B440</f>
        <v>42180</v>
      </c>
      <c r="B441" s="26" t="str">
        <f>+'Rainfall Data'!C440</f>
        <v>T</v>
      </c>
      <c r="C441" s="26">
        <f t="shared" si="50"/>
        <v>528.90000000000009</v>
      </c>
      <c r="D441" s="25">
        <f t="shared" si="51"/>
        <v>2015006</v>
      </c>
    </row>
    <row r="442" spans="1:4" x14ac:dyDescent="0.25">
      <c r="A442" s="12">
        <f>+'Rainfall Data'!B441</f>
        <v>42181</v>
      </c>
      <c r="B442" s="26">
        <f>+'Rainfall Data'!C441</f>
        <v>0</v>
      </c>
      <c r="C442" s="26">
        <f t="shared" si="50"/>
        <v>528.90000000000009</v>
      </c>
      <c r="D442" s="25">
        <f t="shared" si="51"/>
        <v>2015006</v>
      </c>
    </row>
    <row r="443" spans="1:4" x14ac:dyDescent="0.25">
      <c r="A443" s="12">
        <f>+'Rainfall Data'!B442</f>
        <v>42182</v>
      </c>
      <c r="B443" s="26">
        <f>+'Rainfall Data'!C442</f>
        <v>24</v>
      </c>
      <c r="C443" s="26">
        <f t="shared" si="50"/>
        <v>552.90000000000009</v>
      </c>
      <c r="D443" s="25">
        <f t="shared" si="51"/>
        <v>2015006</v>
      </c>
    </row>
    <row r="444" spans="1:4" x14ac:dyDescent="0.25">
      <c r="A444" s="12">
        <f>+'Rainfall Data'!B443</f>
        <v>42183</v>
      </c>
      <c r="B444" s="26">
        <f>+'Rainfall Data'!C443</f>
        <v>4.5</v>
      </c>
      <c r="C444" s="26">
        <f t="shared" si="50"/>
        <v>557.40000000000009</v>
      </c>
      <c r="D444" s="25">
        <f t="shared" si="51"/>
        <v>2015006</v>
      </c>
    </row>
    <row r="445" spans="1:4" x14ac:dyDescent="0.25">
      <c r="A445" s="12">
        <f>+'Rainfall Data'!B444</f>
        <v>42184</v>
      </c>
      <c r="B445" s="26">
        <f>+'Rainfall Data'!C444</f>
        <v>25.6</v>
      </c>
      <c r="C445" s="26">
        <f t="shared" si="50"/>
        <v>583.00000000000011</v>
      </c>
      <c r="D445" s="25">
        <f t="shared" si="51"/>
        <v>2015006</v>
      </c>
    </row>
    <row r="446" spans="1:4" x14ac:dyDescent="0.25">
      <c r="A446" s="12">
        <f>+'Rainfall Data'!B445</f>
        <v>42185</v>
      </c>
      <c r="B446" s="26" t="str">
        <f>+'Rainfall Data'!C445</f>
        <v>nd</v>
      </c>
      <c r="C446" s="26">
        <f t="shared" ref="C446:C477" si="52">IF(B446="nd",0, IF(B446="T",0,B446))+C445</f>
        <v>583.00000000000011</v>
      </c>
      <c r="D446" s="25">
        <f t="shared" ref="D446:D477" si="53">+YEAR(A446)*1000+MONTH(A446)</f>
        <v>2015006</v>
      </c>
    </row>
    <row r="447" spans="1:4" x14ac:dyDescent="0.25">
      <c r="A447" s="12">
        <f>+'Rainfall Data'!B446</f>
        <v>42186</v>
      </c>
      <c r="B447" s="26" t="str">
        <f>+'Rainfall Data'!C446</f>
        <v>nd</v>
      </c>
      <c r="C447" s="26">
        <f t="shared" si="52"/>
        <v>583.00000000000011</v>
      </c>
      <c r="D447" s="25">
        <f t="shared" si="53"/>
        <v>2015007</v>
      </c>
    </row>
    <row r="448" spans="1:4" x14ac:dyDescent="0.25">
      <c r="A448" s="12">
        <f>+'Rainfall Data'!B447</f>
        <v>42187</v>
      </c>
      <c r="B448" s="26" t="str">
        <f>+'Rainfall Data'!C447</f>
        <v>nd</v>
      </c>
      <c r="C448" s="26">
        <f t="shared" si="52"/>
        <v>583.00000000000011</v>
      </c>
      <c r="D448" s="25">
        <f t="shared" si="53"/>
        <v>2015007</v>
      </c>
    </row>
    <row r="449" spans="1:4" x14ac:dyDescent="0.25">
      <c r="A449" s="12">
        <f>+'Rainfall Data'!B448</f>
        <v>42188</v>
      </c>
      <c r="B449" s="26" t="str">
        <f>+'Rainfall Data'!C448</f>
        <v>nd</v>
      </c>
      <c r="C449" s="26">
        <f t="shared" si="52"/>
        <v>583.00000000000011</v>
      </c>
      <c r="D449" s="25">
        <f t="shared" si="53"/>
        <v>2015007</v>
      </c>
    </row>
    <row r="450" spans="1:4" x14ac:dyDescent="0.25">
      <c r="A450" s="12">
        <f>+'Rainfall Data'!B449</f>
        <v>42189</v>
      </c>
      <c r="B450" s="26" t="str">
        <f>+'Rainfall Data'!C449</f>
        <v>nd</v>
      </c>
      <c r="C450" s="26">
        <f t="shared" si="52"/>
        <v>583.00000000000011</v>
      </c>
      <c r="D450" s="25">
        <f t="shared" si="53"/>
        <v>2015007</v>
      </c>
    </row>
    <row r="451" spans="1:4" x14ac:dyDescent="0.25">
      <c r="A451" s="12">
        <f>+'Rainfall Data'!B450</f>
        <v>42190</v>
      </c>
      <c r="B451" s="26" t="str">
        <f>+'Rainfall Data'!C450</f>
        <v>nd</v>
      </c>
      <c r="C451" s="26">
        <f t="shared" si="52"/>
        <v>583.00000000000011</v>
      </c>
      <c r="D451" s="25">
        <f t="shared" si="53"/>
        <v>2015007</v>
      </c>
    </row>
    <row r="452" spans="1:4" x14ac:dyDescent="0.25">
      <c r="A452" s="12">
        <f>+'Rainfall Data'!B451</f>
        <v>42191</v>
      </c>
      <c r="B452" s="26" t="str">
        <f>+'Rainfall Data'!C451</f>
        <v>nd</v>
      </c>
      <c r="C452" s="26">
        <f t="shared" si="52"/>
        <v>583.00000000000011</v>
      </c>
      <c r="D452" s="25">
        <f t="shared" si="53"/>
        <v>2015007</v>
      </c>
    </row>
    <row r="453" spans="1:4" x14ac:dyDescent="0.25">
      <c r="A453" s="12">
        <f>+'Rainfall Data'!B452</f>
        <v>42192</v>
      </c>
      <c r="B453" s="26" t="str">
        <f>+'Rainfall Data'!C452</f>
        <v>nd</v>
      </c>
      <c r="C453" s="26">
        <f t="shared" si="52"/>
        <v>583.00000000000011</v>
      </c>
      <c r="D453" s="25">
        <f t="shared" si="53"/>
        <v>2015007</v>
      </c>
    </row>
    <row r="454" spans="1:4" x14ac:dyDescent="0.25">
      <c r="A454" s="12">
        <f>+'Rainfall Data'!B453</f>
        <v>42193</v>
      </c>
      <c r="B454" s="26" t="str">
        <f>+'Rainfall Data'!C453</f>
        <v>nd</v>
      </c>
      <c r="C454" s="26">
        <f t="shared" si="52"/>
        <v>583.00000000000011</v>
      </c>
      <c r="D454" s="25">
        <f t="shared" si="53"/>
        <v>2015007</v>
      </c>
    </row>
    <row r="455" spans="1:4" x14ac:dyDescent="0.25">
      <c r="A455" s="12">
        <f>+'Rainfall Data'!B454</f>
        <v>42194</v>
      </c>
      <c r="B455" s="26" t="str">
        <f>+'Rainfall Data'!C454</f>
        <v>nd</v>
      </c>
      <c r="C455" s="26">
        <f t="shared" si="52"/>
        <v>583.00000000000011</v>
      </c>
      <c r="D455" s="25">
        <f t="shared" si="53"/>
        <v>2015007</v>
      </c>
    </row>
    <row r="456" spans="1:4" x14ac:dyDescent="0.25">
      <c r="A456" s="12">
        <f>+'Rainfall Data'!B455</f>
        <v>42195</v>
      </c>
      <c r="B456" s="26" t="str">
        <f>+'Rainfall Data'!C455</f>
        <v>nd</v>
      </c>
      <c r="C456" s="26">
        <f t="shared" si="52"/>
        <v>583.00000000000011</v>
      </c>
      <c r="D456" s="25">
        <f t="shared" si="53"/>
        <v>2015007</v>
      </c>
    </row>
    <row r="457" spans="1:4" x14ac:dyDescent="0.25">
      <c r="A457" s="12">
        <f>+'Rainfall Data'!B456</f>
        <v>42196</v>
      </c>
      <c r="B457" s="26" t="str">
        <f>+'Rainfall Data'!C456</f>
        <v>nd</v>
      </c>
      <c r="C457" s="26">
        <f t="shared" si="52"/>
        <v>583.00000000000011</v>
      </c>
      <c r="D457" s="25">
        <f t="shared" si="53"/>
        <v>2015007</v>
      </c>
    </row>
    <row r="458" spans="1:4" x14ac:dyDescent="0.25">
      <c r="A458" s="12">
        <f>+'Rainfall Data'!B457</f>
        <v>42197</v>
      </c>
      <c r="B458" s="26" t="str">
        <f>+'Rainfall Data'!C457</f>
        <v>nd</v>
      </c>
      <c r="C458" s="26">
        <f t="shared" si="52"/>
        <v>583.00000000000011</v>
      </c>
      <c r="D458" s="25">
        <f t="shared" si="53"/>
        <v>2015007</v>
      </c>
    </row>
    <row r="459" spans="1:4" x14ac:dyDescent="0.25">
      <c r="A459" s="12">
        <f>+'Rainfall Data'!B458</f>
        <v>42198</v>
      </c>
      <c r="B459" s="26" t="str">
        <f>+'Rainfall Data'!C458</f>
        <v>nd</v>
      </c>
      <c r="C459" s="26">
        <f t="shared" si="52"/>
        <v>583.00000000000011</v>
      </c>
      <c r="D459" s="25">
        <f t="shared" si="53"/>
        <v>2015007</v>
      </c>
    </row>
    <row r="460" spans="1:4" x14ac:dyDescent="0.25">
      <c r="A460" s="12">
        <f>+'Rainfall Data'!B459</f>
        <v>42199</v>
      </c>
      <c r="B460" s="26" t="str">
        <f>+'Rainfall Data'!C459</f>
        <v>nd</v>
      </c>
      <c r="C460" s="26">
        <f t="shared" si="52"/>
        <v>583.00000000000011</v>
      </c>
      <c r="D460" s="25">
        <f t="shared" si="53"/>
        <v>2015007</v>
      </c>
    </row>
    <row r="461" spans="1:4" x14ac:dyDescent="0.25">
      <c r="A461" s="12">
        <f>+'Rainfall Data'!B460</f>
        <v>42200</v>
      </c>
      <c r="B461" s="26" t="str">
        <f>+'Rainfall Data'!C460</f>
        <v>nd</v>
      </c>
      <c r="C461" s="26">
        <f t="shared" si="52"/>
        <v>583.00000000000011</v>
      </c>
      <c r="D461" s="25">
        <f t="shared" si="53"/>
        <v>2015007</v>
      </c>
    </row>
    <row r="462" spans="1:4" x14ac:dyDescent="0.25">
      <c r="A462" s="12">
        <f>+'Rainfall Data'!B461</f>
        <v>42201</v>
      </c>
      <c r="B462" s="26" t="str">
        <f>+'Rainfall Data'!C461</f>
        <v>nd</v>
      </c>
      <c r="C462" s="26">
        <f t="shared" si="52"/>
        <v>583.00000000000011</v>
      </c>
      <c r="D462" s="25">
        <f t="shared" si="53"/>
        <v>2015007</v>
      </c>
    </row>
    <row r="463" spans="1:4" x14ac:dyDescent="0.25">
      <c r="A463" s="12">
        <f>+'Rainfall Data'!B462</f>
        <v>42202</v>
      </c>
      <c r="B463" s="26" t="str">
        <f>+'Rainfall Data'!C462</f>
        <v>nd</v>
      </c>
      <c r="C463" s="26">
        <f t="shared" si="52"/>
        <v>583.00000000000011</v>
      </c>
      <c r="D463" s="25">
        <f t="shared" si="53"/>
        <v>2015007</v>
      </c>
    </row>
    <row r="464" spans="1:4" x14ac:dyDescent="0.25">
      <c r="A464" s="12">
        <f>+'Rainfall Data'!B463</f>
        <v>42203</v>
      </c>
      <c r="B464" s="26" t="str">
        <f>+'Rainfall Data'!C463</f>
        <v>nd</v>
      </c>
      <c r="C464" s="26">
        <f t="shared" si="52"/>
        <v>583.00000000000011</v>
      </c>
      <c r="D464" s="25">
        <f t="shared" si="53"/>
        <v>2015007</v>
      </c>
    </row>
    <row r="465" spans="1:4" x14ac:dyDescent="0.25">
      <c r="A465" s="12">
        <f>+'Rainfall Data'!B464</f>
        <v>42204</v>
      </c>
      <c r="B465" s="26" t="str">
        <f>+'Rainfall Data'!C464</f>
        <v>nd</v>
      </c>
      <c r="C465" s="26">
        <f t="shared" si="52"/>
        <v>583.00000000000011</v>
      </c>
      <c r="D465" s="25">
        <f t="shared" si="53"/>
        <v>2015007</v>
      </c>
    </row>
    <row r="466" spans="1:4" x14ac:dyDescent="0.25">
      <c r="A466" s="12">
        <f>+'Rainfall Data'!B465</f>
        <v>42205</v>
      </c>
      <c r="B466" s="26" t="str">
        <f>+'Rainfall Data'!C465</f>
        <v>nd</v>
      </c>
      <c r="C466" s="26">
        <f t="shared" si="52"/>
        <v>583.00000000000011</v>
      </c>
      <c r="D466" s="25">
        <f t="shared" si="53"/>
        <v>2015007</v>
      </c>
    </row>
    <row r="467" spans="1:4" x14ac:dyDescent="0.25">
      <c r="A467" s="12">
        <f>+'Rainfall Data'!B466</f>
        <v>42206</v>
      </c>
      <c r="B467" s="26" t="str">
        <f>+'Rainfall Data'!C466</f>
        <v>nd</v>
      </c>
      <c r="C467" s="26">
        <f t="shared" si="52"/>
        <v>583.00000000000011</v>
      </c>
      <c r="D467" s="25">
        <f t="shared" si="53"/>
        <v>2015007</v>
      </c>
    </row>
    <row r="468" spans="1:4" x14ac:dyDescent="0.25">
      <c r="A468" s="12">
        <f>+'Rainfall Data'!B467</f>
        <v>42207</v>
      </c>
      <c r="B468" s="26" t="str">
        <f>+'Rainfall Data'!C467</f>
        <v>nd</v>
      </c>
      <c r="C468" s="26">
        <f t="shared" si="52"/>
        <v>583.00000000000011</v>
      </c>
      <c r="D468" s="25">
        <f t="shared" si="53"/>
        <v>2015007</v>
      </c>
    </row>
    <row r="469" spans="1:4" x14ac:dyDescent="0.25">
      <c r="A469" s="12">
        <f>+'Rainfall Data'!B468</f>
        <v>42208</v>
      </c>
      <c r="B469" s="26" t="str">
        <f>+'Rainfall Data'!C468</f>
        <v>nd</v>
      </c>
      <c r="C469" s="26">
        <f t="shared" si="52"/>
        <v>583.00000000000011</v>
      </c>
      <c r="D469" s="25">
        <f t="shared" si="53"/>
        <v>2015007</v>
      </c>
    </row>
    <row r="470" spans="1:4" x14ac:dyDescent="0.25">
      <c r="A470" s="12">
        <f>+'Rainfall Data'!B469</f>
        <v>42209</v>
      </c>
      <c r="B470" s="26" t="str">
        <f>+'Rainfall Data'!C469</f>
        <v>nd</v>
      </c>
      <c r="C470" s="26">
        <f t="shared" si="52"/>
        <v>583.00000000000011</v>
      </c>
      <c r="D470" s="25">
        <f t="shared" si="53"/>
        <v>2015007</v>
      </c>
    </row>
    <row r="471" spans="1:4" x14ac:dyDescent="0.25">
      <c r="A471" s="12">
        <f>+'Rainfall Data'!B470</f>
        <v>42210</v>
      </c>
      <c r="B471" s="26" t="str">
        <f>+'Rainfall Data'!C470</f>
        <v>nd</v>
      </c>
      <c r="C471" s="26">
        <f t="shared" si="52"/>
        <v>583.00000000000011</v>
      </c>
      <c r="D471" s="25">
        <f t="shared" si="53"/>
        <v>2015007</v>
      </c>
    </row>
    <row r="472" spans="1:4" x14ac:dyDescent="0.25">
      <c r="A472" s="12">
        <f>+'Rainfall Data'!B471</f>
        <v>42211</v>
      </c>
      <c r="B472" s="26" t="str">
        <f>+'Rainfall Data'!C471</f>
        <v>nd</v>
      </c>
      <c r="C472" s="26">
        <f t="shared" si="52"/>
        <v>583.00000000000011</v>
      </c>
      <c r="D472" s="25">
        <f t="shared" si="53"/>
        <v>2015007</v>
      </c>
    </row>
    <row r="473" spans="1:4" x14ac:dyDescent="0.25">
      <c r="A473" s="12">
        <f>+'Rainfall Data'!B472</f>
        <v>42212</v>
      </c>
      <c r="B473" s="26" t="str">
        <f>+'Rainfall Data'!C472</f>
        <v>nd</v>
      </c>
      <c r="C473" s="26">
        <f t="shared" si="52"/>
        <v>583.00000000000011</v>
      </c>
      <c r="D473" s="25">
        <f t="shared" si="53"/>
        <v>2015007</v>
      </c>
    </row>
    <row r="474" spans="1:4" x14ac:dyDescent="0.25">
      <c r="A474" s="12">
        <f>+'Rainfall Data'!B473</f>
        <v>42213</v>
      </c>
      <c r="B474" s="26" t="str">
        <f>+'Rainfall Data'!C473</f>
        <v>nd</v>
      </c>
      <c r="C474" s="26">
        <f t="shared" si="52"/>
        <v>583.00000000000011</v>
      </c>
      <c r="D474" s="25">
        <f t="shared" si="53"/>
        <v>2015007</v>
      </c>
    </row>
    <row r="475" spans="1:4" x14ac:dyDescent="0.25">
      <c r="A475" s="12">
        <f>+'Rainfall Data'!B474</f>
        <v>42214</v>
      </c>
      <c r="B475" s="26" t="str">
        <f>+'Rainfall Data'!C474</f>
        <v>nd</v>
      </c>
      <c r="C475" s="26">
        <f t="shared" si="52"/>
        <v>583.00000000000011</v>
      </c>
      <c r="D475" s="25">
        <f t="shared" si="53"/>
        <v>2015007</v>
      </c>
    </row>
    <row r="476" spans="1:4" x14ac:dyDescent="0.25">
      <c r="A476" s="12">
        <f>+'Rainfall Data'!B475</f>
        <v>42215</v>
      </c>
      <c r="B476" s="26" t="str">
        <f>+'Rainfall Data'!C475</f>
        <v>nd</v>
      </c>
      <c r="C476" s="26">
        <f t="shared" si="52"/>
        <v>583.00000000000011</v>
      </c>
      <c r="D476" s="25">
        <f t="shared" si="53"/>
        <v>2015007</v>
      </c>
    </row>
    <row r="477" spans="1:4" x14ac:dyDescent="0.25">
      <c r="A477" s="12">
        <f>+'Rainfall Data'!B476</f>
        <v>42216</v>
      </c>
      <c r="B477" s="26">
        <f>+'Rainfall Data'!C476</f>
        <v>4.5</v>
      </c>
      <c r="C477" s="26">
        <f t="shared" si="52"/>
        <v>587.50000000000011</v>
      </c>
      <c r="D477" s="25">
        <f t="shared" si="53"/>
        <v>2015007</v>
      </c>
    </row>
    <row r="478" spans="1:4" x14ac:dyDescent="0.25">
      <c r="A478" s="12">
        <f>+'Rainfall Data'!B477</f>
        <v>42217</v>
      </c>
      <c r="B478" s="26" t="str">
        <f>+'Rainfall Data'!C477</f>
        <v>T</v>
      </c>
      <c r="C478" s="26">
        <f t="shared" ref="C478:C541" si="54">IF(B478="nd",0, IF(B478="T",0,B478))+C477</f>
        <v>587.50000000000011</v>
      </c>
      <c r="D478" s="25">
        <f t="shared" ref="D478:D541" si="55">+YEAR(A478)*1000+MONTH(A478)</f>
        <v>2015008</v>
      </c>
    </row>
    <row r="479" spans="1:4" x14ac:dyDescent="0.25">
      <c r="A479" s="12">
        <f>+'Rainfall Data'!B478</f>
        <v>42218</v>
      </c>
      <c r="B479" s="26">
        <f>+'Rainfall Data'!C478</f>
        <v>8</v>
      </c>
      <c r="C479" s="26">
        <f t="shared" si="54"/>
        <v>595.50000000000011</v>
      </c>
      <c r="D479" s="25">
        <f t="shared" si="55"/>
        <v>2015008</v>
      </c>
    </row>
    <row r="480" spans="1:4" x14ac:dyDescent="0.25">
      <c r="A480" s="12">
        <f>+'Rainfall Data'!B479</f>
        <v>42219</v>
      </c>
      <c r="B480" s="26" t="str">
        <f>+'Rainfall Data'!C479</f>
        <v>T</v>
      </c>
      <c r="C480" s="26">
        <f t="shared" si="54"/>
        <v>595.50000000000011</v>
      </c>
      <c r="D480" s="25">
        <f t="shared" si="55"/>
        <v>2015008</v>
      </c>
    </row>
    <row r="481" spans="1:4" x14ac:dyDescent="0.25">
      <c r="A481" s="12">
        <f>+'Rainfall Data'!B480</f>
        <v>42220</v>
      </c>
      <c r="B481" s="26">
        <f>+'Rainfall Data'!C480</f>
        <v>7.5</v>
      </c>
      <c r="C481" s="26">
        <f t="shared" si="54"/>
        <v>603.00000000000011</v>
      </c>
      <c r="D481" s="25">
        <f t="shared" si="55"/>
        <v>2015008</v>
      </c>
    </row>
    <row r="482" spans="1:4" x14ac:dyDescent="0.25">
      <c r="A482" s="12">
        <f>+'Rainfall Data'!B481</f>
        <v>42221</v>
      </c>
      <c r="B482" s="26">
        <f>+'Rainfall Data'!C481</f>
        <v>13</v>
      </c>
      <c r="C482" s="26">
        <f t="shared" si="54"/>
        <v>616.00000000000011</v>
      </c>
      <c r="D482" s="25">
        <f t="shared" si="55"/>
        <v>2015008</v>
      </c>
    </row>
    <row r="483" spans="1:4" x14ac:dyDescent="0.25">
      <c r="A483" s="12">
        <f>+'Rainfall Data'!B482</f>
        <v>42222</v>
      </c>
      <c r="B483" s="26">
        <f>+'Rainfall Data'!C482</f>
        <v>26</v>
      </c>
      <c r="C483" s="26">
        <f t="shared" si="54"/>
        <v>642.00000000000011</v>
      </c>
      <c r="D483" s="25">
        <f t="shared" si="55"/>
        <v>2015008</v>
      </c>
    </row>
    <row r="484" spans="1:4" x14ac:dyDescent="0.25">
      <c r="A484" s="12">
        <f>+'Rainfall Data'!B483</f>
        <v>42223</v>
      </c>
      <c r="B484" s="26">
        <f>+'Rainfall Data'!C483</f>
        <v>4</v>
      </c>
      <c r="C484" s="26">
        <f t="shared" si="54"/>
        <v>646.00000000000011</v>
      </c>
      <c r="D484" s="25">
        <f t="shared" si="55"/>
        <v>2015008</v>
      </c>
    </row>
    <row r="485" spans="1:4" x14ac:dyDescent="0.25">
      <c r="A485" s="12">
        <f>+'Rainfall Data'!B484</f>
        <v>42224</v>
      </c>
      <c r="B485" s="26">
        <f>+'Rainfall Data'!C484</f>
        <v>3</v>
      </c>
      <c r="C485" s="26">
        <f t="shared" si="54"/>
        <v>649.00000000000011</v>
      </c>
      <c r="D485" s="25">
        <f t="shared" si="55"/>
        <v>2015008</v>
      </c>
    </row>
    <row r="486" spans="1:4" x14ac:dyDescent="0.25">
      <c r="A486" s="12">
        <f>+'Rainfall Data'!B485</f>
        <v>42225</v>
      </c>
      <c r="B486" s="26">
        <f>+'Rainfall Data'!C485</f>
        <v>13</v>
      </c>
      <c r="C486" s="26">
        <f t="shared" si="54"/>
        <v>662.00000000000011</v>
      </c>
      <c r="D486" s="25">
        <f t="shared" si="55"/>
        <v>2015008</v>
      </c>
    </row>
    <row r="487" spans="1:4" x14ac:dyDescent="0.25">
      <c r="A487" s="12">
        <f>+'Rainfall Data'!B486</f>
        <v>42226</v>
      </c>
      <c r="B487" s="26">
        <f>+'Rainfall Data'!C486</f>
        <v>3</v>
      </c>
      <c r="C487" s="26">
        <f t="shared" si="54"/>
        <v>665.00000000000011</v>
      </c>
      <c r="D487" s="25">
        <f t="shared" si="55"/>
        <v>2015008</v>
      </c>
    </row>
    <row r="488" spans="1:4" x14ac:dyDescent="0.25">
      <c r="A488" s="12">
        <f>+'Rainfall Data'!B487</f>
        <v>42227</v>
      </c>
      <c r="B488" s="26">
        <f>+'Rainfall Data'!C487</f>
        <v>26</v>
      </c>
      <c r="C488" s="26">
        <f t="shared" si="54"/>
        <v>691.00000000000011</v>
      </c>
      <c r="D488" s="25">
        <f t="shared" si="55"/>
        <v>2015008</v>
      </c>
    </row>
    <row r="489" spans="1:4" x14ac:dyDescent="0.25">
      <c r="A489" s="12">
        <f>+'Rainfall Data'!B488</f>
        <v>42228</v>
      </c>
      <c r="B489" s="26">
        <f>+'Rainfall Data'!C488</f>
        <v>26</v>
      </c>
      <c r="C489" s="26">
        <f t="shared" si="54"/>
        <v>717.00000000000011</v>
      </c>
      <c r="D489" s="25">
        <f t="shared" si="55"/>
        <v>2015008</v>
      </c>
    </row>
    <row r="490" spans="1:4" x14ac:dyDescent="0.25">
      <c r="A490" s="12">
        <f>+'Rainfall Data'!B489</f>
        <v>42229</v>
      </c>
      <c r="B490" s="26">
        <f>+'Rainfall Data'!C489</f>
        <v>12.3</v>
      </c>
      <c r="C490" s="26">
        <f t="shared" si="54"/>
        <v>729.30000000000007</v>
      </c>
      <c r="D490" s="25">
        <f t="shared" si="55"/>
        <v>2015008</v>
      </c>
    </row>
    <row r="491" spans="1:4" x14ac:dyDescent="0.25">
      <c r="A491" s="12">
        <f>+'Rainfall Data'!B490</f>
        <v>42230</v>
      </c>
      <c r="B491" s="26">
        <f>+'Rainfall Data'!C490</f>
        <v>26</v>
      </c>
      <c r="C491" s="26">
        <f t="shared" si="54"/>
        <v>755.30000000000007</v>
      </c>
      <c r="D491" s="25">
        <f t="shared" si="55"/>
        <v>2015008</v>
      </c>
    </row>
    <row r="492" spans="1:4" x14ac:dyDescent="0.25">
      <c r="A492" s="12">
        <f>+'Rainfall Data'!B491</f>
        <v>42231</v>
      </c>
      <c r="B492" s="26">
        <f>+'Rainfall Data'!C491</f>
        <v>24</v>
      </c>
      <c r="C492" s="26">
        <f t="shared" si="54"/>
        <v>779.30000000000007</v>
      </c>
      <c r="D492" s="25">
        <f t="shared" si="55"/>
        <v>2015008</v>
      </c>
    </row>
    <row r="493" spans="1:4" x14ac:dyDescent="0.25">
      <c r="A493" s="12">
        <f>+'Rainfall Data'!B492</f>
        <v>42232</v>
      </c>
      <c r="B493" s="26">
        <f>+'Rainfall Data'!C492</f>
        <v>25</v>
      </c>
      <c r="C493" s="26">
        <f t="shared" si="54"/>
        <v>804.30000000000007</v>
      </c>
      <c r="D493" s="25">
        <f t="shared" si="55"/>
        <v>2015008</v>
      </c>
    </row>
    <row r="494" spans="1:4" x14ac:dyDescent="0.25">
      <c r="A494" s="12">
        <f>+'Rainfall Data'!B493</f>
        <v>42233</v>
      </c>
      <c r="B494" s="26" t="str">
        <f>+'Rainfall Data'!C493</f>
        <v>T</v>
      </c>
      <c r="C494" s="26">
        <f t="shared" si="54"/>
        <v>804.30000000000007</v>
      </c>
      <c r="D494" s="25">
        <f t="shared" si="55"/>
        <v>2015008</v>
      </c>
    </row>
    <row r="495" spans="1:4" x14ac:dyDescent="0.25">
      <c r="A495" s="12">
        <f>+'Rainfall Data'!B494</f>
        <v>42234</v>
      </c>
      <c r="B495" s="26">
        <f>+'Rainfall Data'!C494</f>
        <v>25</v>
      </c>
      <c r="C495" s="26">
        <f t="shared" si="54"/>
        <v>829.30000000000007</v>
      </c>
      <c r="D495" s="25">
        <f t="shared" si="55"/>
        <v>2015008</v>
      </c>
    </row>
    <row r="496" spans="1:4" x14ac:dyDescent="0.25">
      <c r="A496" s="12">
        <f>+'Rainfall Data'!B495</f>
        <v>42235</v>
      </c>
      <c r="B496" s="26">
        <f>+'Rainfall Data'!C495</f>
        <v>5</v>
      </c>
      <c r="C496" s="26">
        <f t="shared" si="54"/>
        <v>834.30000000000007</v>
      </c>
      <c r="D496" s="25">
        <f t="shared" si="55"/>
        <v>2015008</v>
      </c>
    </row>
    <row r="497" spans="1:4" x14ac:dyDescent="0.25">
      <c r="A497" s="12">
        <f>+'Rainfall Data'!B496</f>
        <v>42236</v>
      </c>
      <c r="B497" s="26" t="str">
        <f>+'Rainfall Data'!C496</f>
        <v>T</v>
      </c>
      <c r="C497" s="26">
        <f t="shared" si="54"/>
        <v>834.30000000000007</v>
      </c>
      <c r="D497" s="25">
        <f t="shared" si="55"/>
        <v>2015008</v>
      </c>
    </row>
    <row r="498" spans="1:4" x14ac:dyDescent="0.25">
      <c r="A498" s="12">
        <f>+'Rainfall Data'!B497</f>
        <v>42237</v>
      </c>
      <c r="B498" s="26">
        <f>+'Rainfall Data'!C497</f>
        <v>8</v>
      </c>
      <c r="C498" s="26">
        <f t="shared" si="54"/>
        <v>842.30000000000007</v>
      </c>
      <c r="D498" s="25">
        <f t="shared" si="55"/>
        <v>2015008</v>
      </c>
    </row>
    <row r="499" spans="1:4" x14ac:dyDescent="0.25">
      <c r="A499" s="12">
        <f>+'Rainfall Data'!B498</f>
        <v>42238</v>
      </c>
      <c r="B499" s="26">
        <f>+'Rainfall Data'!C498</f>
        <v>25</v>
      </c>
      <c r="C499" s="26">
        <f t="shared" si="54"/>
        <v>867.30000000000007</v>
      </c>
      <c r="D499" s="25">
        <f t="shared" si="55"/>
        <v>2015008</v>
      </c>
    </row>
    <row r="500" spans="1:4" x14ac:dyDescent="0.25">
      <c r="A500" s="12">
        <f>+'Rainfall Data'!B499</f>
        <v>42239</v>
      </c>
      <c r="B500" s="26">
        <f>+'Rainfall Data'!C499</f>
        <v>0</v>
      </c>
      <c r="C500" s="26">
        <f t="shared" si="54"/>
        <v>867.30000000000007</v>
      </c>
      <c r="D500" s="25">
        <f t="shared" si="55"/>
        <v>2015008</v>
      </c>
    </row>
    <row r="501" spans="1:4" x14ac:dyDescent="0.25">
      <c r="A501" s="12">
        <f>+'Rainfall Data'!B500</f>
        <v>42240</v>
      </c>
      <c r="B501" s="26">
        <f>+'Rainfall Data'!C500</f>
        <v>12</v>
      </c>
      <c r="C501" s="26">
        <f t="shared" si="54"/>
        <v>879.30000000000007</v>
      </c>
      <c r="D501" s="25">
        <f t="shared" si="55"/>
        <v>2015008</v>
      </c>
    </row>
    <row r="502" spans="1:4" x14ac:dyDescent="0.25">
      <c r="A502" s="12">
        <f>+'Rainfall Data'!B501</f>
        <v>42241</v>
      </c>
      <c r="B502" s="26">
        <f>+'Rainfall Data'!C501</f>
        <v>25</v>
      </c>
      <c r="C502" s="26">
        <f t="shared" si="54"/>
        <v>904.30000000000007</v>
      </c>
      <c r="D502" s="25">
        <f t="shared" si="55"/>
        <v>2015008</v>
      </c>
    </row>
    <row r="503" spans="1:4" x14ac:dyDescent="0.25">
      <c r="A503" s="12">
        <f>+'Rainfall Data'!B502</f>
        <v>42242</v>
      </c>
      <c r="B503" s="26">
        <f>+'Rainfall Data'!C502</f>
        <v>20.6</v>
      </c>
      <c r="C503" s="26">
        <f t="shared" si="54"/>
        <v>924.90000000000009</v>
      </c>
      <c r="D503" s="25">
        <f t="shared" si="55"/>
        <v>2015008</v>
      </c>
    </row>
    <row r="504" spans="1:4" x14ac:dyDescent="0.25">
      <c r="A504" s="12">
        <f>+'Rainfall Data'!B503</f>
        <v>42243</v>
      </c>
      <c r="B504" s="26">
        <f>+'Rainfall Data'!C503</f>
        <v>16</v>
      </c>
      <c r="C504" s="26">
        <f t="shared" si="54"/>
        <v>940.90000000000009</v>
      </c>
      <c r="D504" s="25">
        <f t="shared" si="55"/>
        <v>2015008</v>
      </c>
    </row>
    <row r="505" spans="1:4" x14ac:dyDescent="0.25">
      <c r="A505" s="12">
        <f>+'Rainfall Data'!B504</f>
        <v>42244</v>
      </c>
      <c r="B505" s="26" t="str">
        <f>+'Rainfall Data'!C504</f>
        <v>T</v>
      </c>
      <c r="C505" s="26">
        <f t="shared" si="54"/>
        <v>940.90000000000009</v>
      </c>
      <c r="D505" s="25">
        <f t="shared" si="55"/>
        <v>2015008</v>
      </c>
    </row>
    <row r="506" spans="1:4" x14ac:dyDescent="0.25">
      <c r="A506" s="12">
        <f>+'Rainfall Data'!B505</f>
        <v>42245</v>
      </c>
      <c r="B506" s="26">
        <f>+'Rainfall Data'!C505</f>
        <v>15</v>
      </c>
      <c r="C506" s="26">
        <f t="shared" si="54"/>
        <v>955.90000000000009</v>
      </c>
      <c r="D506" s="25">
        <f t="shared" si="55"/>
        <v>2015008</v>
      </c>
    </row>
    <row r="507" spans="1:4" x14ac:dyDescent="0.25">
      <c r="A507" s="12">
        <f>+'Rainfall Data'!B506</f>
        <v>42246</v>
      </c>
      <c r="B507" s="26">
        <f>+'Rainfall Data'!C506</f>
        <v>4.5</v>
      </c>
      <c r="C507" s="26">
        <f t="shared" si="54"/>
        <v>960.40000000000009</v>
      </c>
      <c r="D507" s="25">
        <f t="shared" si="55"/>
        <v>2015008</v>
      </c>
    </row>
    <row r="508" spans="1:4" x14ac:dyDescent="0.25">
      <c r="A508" s="12">
        <f>+'Rainfall Data'!B507</f>
        <v>42247</v>
      </c>
      <c r="B508" s="26" t="str">
        <f>+'Rainfall Data'!C507</f>
        <v>T</v>
      </c>
      <c r="C508" s="26">
        <f t="shared" si="54"/>
        <v>960.40000000000009</v>
      </c>
      <c r="D508" s="25">
        <f t="shared" si="55"/>
        <v>2015008</v>
      </c>
    </row>
    <row r="509" spans="1:4" x14ac:dyDescent="0.25">
      <c r="A509" s="12">
        <f>+'Rainfall Data'!B508</f>
        <v>42248</v>
      </c>
      <c r="B509" s="26">
        <f>+'Rainfall Data'!C508</f>
        <v>6</v>
      </c>
      <c r="C509" s="26">
        <f t="shared" si="54"/>
        <v>966.40000000000009</v>
      </c>
      <c r="D509" s="25">
        <f t="shared" si="55"/>
        <v>2015009</v>
      </c>
    </row>
    <row r="510" spans="1:4" x14ac:dyDescent="0.25">
      <c r="A510" s="12">
        <f>+'Rainfall Data'!B509</f>
        <v>42249</v>
      </c>
      <c r="B510" s="26">
        <f>+'Rainfall Data'!C509</f>
        <v>25</v>
      </c>
      <c r="C510" s="26">
        <f t="shared" si="54"/>
        <v>991.40000000000009</v>
      </c>
      <c r="D510" s="25">
        <f t="shared" si="55"/>
        <v>2015009</v>
      </c>
    </row>
    <row r="511" spans="1:4" x14ac:dyDescent="0.25">
      <c r="A511" s="12">
        <f>+'Rainfall Data'!B510</f>
        <v>42250</v>
      </c>
      <c r="B511" s="26">
        <f>+'Rainfall Data'!C510</f>
        <v>0</v>
      </c>
      <c r="C511" s="26">
        <f t="shared" si="54"/>
        <v>991.40000000000009</v>
      </c>
      <c r="D511" s="25">
        <f t="shared" si="55"/>
        <v>2015009</v>
      </c>
    </row>
    <row r="512" spans="1:4" x14ac:dyDescent="0.25">
      <c r="A512" s="12">
        <f>+'Rainfall Data'!B511</f>
        <v>42251</v>
      </c>
      <c r="B512" s="26" t="str">
        <f>+'Rainfall Data'!C511</f>
        <v>T</v>
      </c>
      <c r="C512" s="26">
        <f t="shared" si="54"/>
        <v>991.40000000000009</v>
      </c>
      <c r="D512" s="25">
        <f t="shared" si="55"/>
        <v>2015009</v>
      </c>
    </row>
    <row r="513" spans="1:4" x14ac:dyDescent="0.25">
      <c r="A513" s="12">
        <f>+'Rainfall Data'!B512</f>
        <v>42252</v>
      </c>
      <c r="B513" s="26">
        <f>+'Rainfall Data'!C512</f>
        <v>10.6</v>
      </c>
      <c r="C513" s="26">
        <f t="shared" si="54"/>
        <v>1002.0000000000001</v>
      </c>
      <c r="D513" s="25">
        <f t="shared" si="55"/>
        <v>2015009</v>
      </c>
    </row>
    <row r="514" spans="1:4" x14ac:dyDescent="0.25">
      <c r="A514" s="12">
        <f>+'Rainfall Data'!B513</f>
        <v>42253</v>
      </c>
      <c r="B514" s="26">
        <f>+'Rainfall Data'!C513</f>
        <v>20</v>
      </c>
      <c r="C514" s="26">
        <f t="shared" si="54"/>
        <v>1022.0000000000001</v>
      </c>
      <c r="D514" s="25">
        <f t="shared" si="55"/>
        <v>2015009</v>
      </c>
    </row>
    <row r="515" spans="1:4" x14ac:dyDescent="0.25">
      <c r="A515" s="12">
        <f>+'Rainfall Data'!B514</f>
        <v>42254</v>
      </c>
      <c r="B515" s="26" t="str">
        <f>+'Rainfall Data'!C514</f>
        <v>T</v>
      </c>
      <c r="C515" s="26">
        <f t="shared" si="54"/>
        <v>1022.0000000000001</v>
      </c>
      <c r="D515" s="25">
        <f t="shared" si="55"/>
        <v>2015009</v>
      </c>
    </row>
    <row r="516" spans="1:4" x14ac:dyDescent="0.25">
      <c r="A516" s="12">
        <f>+'Rainfall Data'!B515</f>
        <v>42255</v>
      </c>
      <c r="B516" s="26">
        <f>+'Rainfall Data'!C515</f>
        <v>0</v>
      </c>
      <c r="C516" s="26">
        <f t="shared" si="54"/>
        <v>1022.0000000000001</v>
      </c>
      <c r="D516" s="25">
        <f t="shared" si="55"/>
        <v>2015009</v>
      </c>
    </row>
    <row r="517" spans="1:4" x14ac:dyDescent="0.25">
      <c r="A517" s="12">
        <f>+'Rainfall Data'!B516</f>
        <v>42256</v>
      </c>
      <c r="B517" s="26">
        <f>+'Rainfall Data'!C516</f>
        <v>16.5</v>
      </c>
      <c r="C517" s="26">
        <f t="shared" si="54"/>
        <v>1038.5</v>
      </c>
      <c r="D517" s="25">
        <f t="shared" si="55"/>
        <v>2015009</v>
      </c>
    </row>
    <row r="518" spans="1:4" x14ac:dyDescent="0.25">
      <c r="A518" s="12">
        <f>+'Rainfall Data'!B517</f>
        <v>42257</v>
      </c>
      <c r="B518" s="26">
        <f>+'Rainfall Data'!C517</f>
        <v>25</v>
      </c>
      <c r="C518" s="26">
        <f t="shared" si="54"/>
        <v>1063.5</v>
      </c>
      <c r="D518" s="25">
        <f t="shared" si="55"/>
        <v>2015009</v>
      </c>
    </row>
    <row r="519" spans="1:4" x14ac:dyDescent="0.25">
      <c r="A519" s="12">
        <f>+'Rainfall Data'!B518</f>
        <v>42258</v>
      </c>
      <c r="B519" s="26">
        <f>+'Rainfall Data'!C518</f>
        <v>22</v>
      </c>
      <c r="C519" s="26">
        <f t="shared" si="54"/>
        <v>1085.5</v>
      </c>
      <c r="D519" s="25">
        <f t="shared" si="55"/>
        <v>2015009</v>
      </c>
    </row>
    <row r="520" spans="1:4" x14ac:dyDescent="0.25">
      <c r="A520" s="12">
        <f>+'Rainfall Data'!B519</f>
        <v>42259</v>
      </c>
      <c r="B520" s="26">
        <f>+'Rainfall Data'!C519</f>
        <v>26.5</v>
      </c>
      <c r="C520" s="26">
        <f t="shared" si="54"/>
        <v>1112</v>
      </c>
      <c r="D520" s="25">
        <f t="shared" si="55"/>
        <v>2015009</v>
      </c>
    </row>
    <row r="521" spans="1:4" x14ac:dyDescent="0.25">
      <c r="A521" s="12">
        <f>+'Rainfall Data'!B520</f>
        <v>42260</v>
      </c>
      <c r="B521" s="26">
        <f>+'Rainfall Data'!C520</f>
        <v>8</v>
      </c>
      <c r="C521" s="26">
        <f t="shared" si="54"/>
        <v>1120</v>
      </c>
      <c r="D521" s="25">
        <f t="shared" si="55"/>
        <v>2015009</v>
      </c>
    </row>
    <row r="522" spans="1:4" x14ac:dyDescent="0.25">
      <c r="A522" s="12">
        <f>+'Rainfall Data'!B521</f>
        <v>42261</v>
      </c>
      <c r="B522" s="26">
        <f>+'Rainfall Data'!C521</f>
        <v>3.4</v>
      </c>
      <c r="C522" s="26">
        <f t="shared" si="54"/>
        <v>1123.4000000000001</v>
      </c>
      <c r="D522" s="25">
        <f t="shared" si="55"/>
        <v>2015009</v>
      </c>
    </row>
    <row r="523" spans="1:4" x14ac:dyDescent="0.25">
      <c r="A523" s="12">
        <f>+'Rainfall Data'!B522</f>
        <v>42262</v>
      </c>
      <c r="B523" s="26">
        <f>+'Rainfall Data'!C522</f>
        <v>10</v>
      </c>
      <c r="C523" s="26">
        <f t="shared" si="54"/>
        <v>1133.4000000000001</v>
      </c>
      <c r="D523" s="25">
        <f t="shared" si="55"/>
        <v>2015009</v>
      </c>
    </row>
    <row r="524" spans="1:4" x14ac:dyDescent="0.25">
      <c r="A524" s="12">
        <f>+'Rainfall Data'!B523</f>
        <v>42263</v>
      </c>
      <c r="B524" s="26" t="str">
        <f>+'Rainfall Data'!C523</f>
        <v>T</v>
      </c>
      <c r="C524" s="26">
        <f t="shared" si="54"/>
        <v>1133.4000000000001</v>
      </c>
      <c r="D524" s="25">
        <f t="shared" si="55"/>
        <v>2015009</v>
      </c>
    </row>
    <row r="525" spans="1:4" x14ac:dyDescent="0.25">
      <c r="A525" s="12">
        <f>+'Rainfall Data'!B524</f>
        <v>42264</v>
      </c>
      <c r="B525" s="26" t="str">
        <f>+'Rainfall Data'!C524</f>
        <v>T</v>
      </c>
      <c r="C525" s="26">
        <f t="shared" si="54"/>
        <v>1133.4000000000001</v>
      </c>
      <c r="D525" s="25">
        <f t="shared" si="55"/>
        <v>2015009</v>
      </c>
    </row>
    <row r="526" spans="1:4" x14ac:dyDescent="0.25">
      <c r="A526" s="12">
        <f>+'Rainfall Data'!B525</f>
        <v>42265</v>
      </c>
      <c r="B526" s="26">
        <f>+'Rainfall Data'!C525</f>
        <v>19</v>
      </c>
      <c r="C526" s="26">
        <f t="shared" si="54"/>
        <v>1152.4000000000001</v>
      </c>
      <c r="D526" s="25">
        <f t="shared" si="55"/>
        <v>2015009</v>
      </c>
    </row>
    <row r="527" spans="1:4" x14ac:dyDescent="0.25">
      <c r="A527" s="12">
        <f>+'Rainfall Data'!B526</f>
        <v>42266</v>
      </c>
      <c r="B527" s="26">
        <f>+'Rainfall Data'!C526</f>
        <v>23</v>
      </c>
      <c r="C527" s="26">
        <f t="shared" si="54"/>
        <v>1175.4000000000001</v>
      </c>
      <c r="D527" s="25">
        <f t="shared" si="55"/>
        <v>2015009</v>
      </c>
    </row>
    <row r="528" spans="1:4" x14ac:dyDescent="0.25">
      <c r="A528" s="12">
        <f>+'Rainfall Data'!B527</f>
        <v>42267</v>
      </c>
      <c r="B528" s="26">
        <f>+'Rainfall Data'!C527</f>
        <v>17</v>
      </c>
      <c r="C528" s="26">
        <f t="shared" si="54"/>
        <v>1192.4000000000001</v>
      </c>
      <c r="D528" s="25">
        <f t="shared" si="55"/>
        <v>2015009</v>
      </c>
    </row>
    <row r="529" spans="1:4" x14ac:dyDescent="0.25">
      <c r="A529" s="12">
        <f>+'Rainfall Data'!B528</f>
        <v>42268</v>
      </c>
      <c r="B529" s="26">
        <f>+'Rainfall Data'!C528</f>
        <v>25.6</v>
      </c>
      <c r="C529" s="26">
        <f t="shared" si="54"/>
        <v>1218</v>
      </c>
      <c r="D529" s="25">
        <f t="shared" si="55"/>
        <v>2015009</v>
      </c>
    </row>
    <row r="530" spans="1:4" x14ac:dyDescent="0.25">
      <c r="A530" s="12">
        <f>+'Rainfall Data'!B529</f>
        <v>42269</v>
      </c>
      <c r="B530" s="26">
        <f>+'Rainfall Data'!C529</f>
        <v>10</v>
      </c>
      <c r="C530" s="26">
        <f t="shared" si="54"/>
        <v>1228</v>
      </c>
      <c r="D530" s="25">
        <f t="shared" si="55"/>
        <v>2015009</v>
      </c>
    </row>
    <row r="531" spans="1:4" x14ac:dyDescent="0.25">
      <c r="A531" s="12">
        <f>+'Rainfall Data'!B530</f>
        <v>42270</v>
      </c>
      <c r="B531" s="26">
        <f>+'Rainfall Data'!C530</f>
        <v>16.2</v>
      </c>
      <c r="C531" s="26">
        <f t="shared" si="54"/>
        <v>1244.2</v>
      </c>
      <c r="D531" s="25">
        <f t="shared" si="55"/>
        <v>2015009</v>
      </c>
    </row>
    <row r="532" spans="1:4" x14ac:dyDescent="0.25">
      <c r="A532" s="12">
        <f>+'Rainfall Data'!B531</f>
        <v>42271</v>
      </c>
      <c r="B532" s="26">
        <f>+'Rainfall Data'!C531</f>
        <v>4.5999999999999996</v>
      </c>
      <c r="C532" s="26">
        <f t="shared" si="54"/>
        <v>1248.8</v>
      </c>
      <c r="D532" s="25">
        <f t="shared" si="55"/>
        <v>2015009</v>
      </c>
    </row>
    <row r="533" spans="1:4" x14ac:dyDescent="0.25">
      <c r="A533" s="12">
        <f>+'Rainfall Data'!B532</f>
        <v>42272</v>
      </c>
      <c r="B533" s="26">
        <f>+'Rainfall Data'!C532</f>
        <v>14.6</v>
      </c>
      <c r="C533" s="26">
        <f t="shared" si="54"/>
        <v>1263.3999999999999</v>
      </c>
      <c r="D533" s="25">
        <f t="shared" si="55"/>
        <v>2015009</v>
      </c>
    </row>
    <row r="534" spans="1:4" x14ac:dyDescent="0.25">
      <c r="A534" s="12">
        <f>+'Rainfall Data'!B533</f>
        <v>42273</v>
      </c>
      <c r="B534" s="26">
        <f>+'Rainfall Data'!C533</f>
        <v>10.199999999999999</v>
      </c>
      <c r="C534" s="26">
        <f t="shared" si="54"/>
        <v>1273.5999999999999</v>
      </c>
      <c r="D534" s="25">
        <f t="shared" si="55"/>
        <v>2015009</v>
      </c>
    </row>
    <row r="535" spans="1:4" x14ac:dyDescent="0.25">
      <c r="A535" s="12">
        <f>+'Rainfall Data'!B534</f>
        <v>42274</v>
      </c>
      <c r="B535" s="26">
        <f>+'Rainfall Data'!C534</f>
        <v>8.3000000000000007</v>
      </c>
      <c r="C535" s="26">
        <f t="shared" si="54"/>
        <v>1281.8999999999999</v>
      </c>
      <c r="D535" s="25">
        <f t="shared" si="55"/>
        <v>2015009</v>
      </c>
    </row>
    <row r="536" spans="1:4" x14ac:dyDescent="0.25">
      <c r="A536" s="12">
        <f>+'Rainfall Data'!B535</f>
        <v>42275</v>
      </c>
      <c r="B536" s="26">
        <f>+'Rainfall Data'!C535</f>
        <v>19.3</v>
      </c>
      <c r="C536" s="26">
        <f t="shared" si="54"/>
        <v>1301.1999999999998</v>
      </c>
      <c r="D536" s="25">
        <f t="shared" si="55"/>
        <v>2015009</v>
      </c>
    </row>
    <row r="537" spans="1:4" x14ac:dyDescent="0.25">
      <c r="A537" s="12">
        <f>+'Rainfall Data'!B536</f>
        <v>42276</v>
      </c>
      <c r="B537" s="26">
        <f>+'Rainfall Data'!C536</f>
        <v>22</v>
      </c>
      <c r="C537" s="26">
        <f t="shared" si="54"/>
        <v>1323.1999999999998</v>
      </c>
      <c r="D537" s="25">
        <f t="shared" si="55"/>
        <v>2015009</v>
      </c>
    </row>
    <row r="538" spans="1:4" x14ac:dyDescent="0.25">
      <c r="A538" s="12">
        <f>+'Rainfall Data'!B537</f>
        <v>42277</v>
      </c>
      <c r="B538" s="26">
        <f>+'Rainfall Data'!C537</f>
        <v>20</v>
      </c>
      <c r="C538" s="26">
        <f t="shared" si="54"/>
        <v>1343.1999999999998</v>
      </c>
      <c r="D538" s="25">
        <f t="shared" si="55"/>
        <v>2015009</v>
      </c>
    </row>
    <row r="539" spans="1:4" x14ac:dyDescent="0.25">
      <c r="A539" s="12">
        <f>+'Rainfall Data'!B538</f>
        <v>42278</v>
      </c>
      <c r="B539" s="26">
        <f>+'Rainfall Data'!C538</f>
        <v>16.5</v>
      </c>
      <c r="C539" s="26">
        <f t="shared" si="54"/>
        <v>1359.6999999999998</v>
      </c>
      <c r="D539" s="25">
        <f t="shared" si="55"/>
        <v>2015010</v>
      </c>
    </row>
    <row r="540" spans="1:4" x14ac:dyDescent="0.25">
      <c r="A540" s="12">
        <f>+'Rainfall Data'!B539</f>
        <v>42279</v>
      </c>
      <c r="B540" s="26">
        <f>+'Rainfall Data'!C539</f>
        <v>4.5999999999999996</v>
      </c>
      <c r="C540" s="26">
        <f t="shared" si="54"/>
        <v>1364.2999999999997</v>
      </c>
      <c r="D540" s="25">
        <f t="shared" si="55"/>
        <v>2015010</v>
      </c>
    </row>
    <row r="541" spans="1:4" x14ac:dyDescent="0.25">
      <c r="A541" s="12">
        <f>+'Rainfall Data'!B540</f>
        <v>42280</v>
      </c>
      <c r="B541" s="26">
        <f>+'Rainfall Data'!C540</f>
        <v>10</v>
      </c>
      <c r="C541" s="26">
        <f t="shared" si="54"/>
        <v>1374.2999999999997</v>
      </c>
      <c r="D541" s="25">
        <f t="shared" si="55"/>
        <v>2015010</v>
      </c>
    </row>
    <row r="542" spans="1:4" x14ac:dyDescent="0.25">
      <c r="A542" s="12">
        <f>+'Rainfall Data'!B541</f>
        <v>42281</v>
      </c>
      <c r="B542" s="26">
        <f>+'Rainfall Data'!C541</f>
        <v>25.6</v>
      </c>
      <c r="C542" s="26">
        <f t="shared" ref="C542:C605" si="56">IF(B542="nd",0, IF(B542="T",0,B542))+C541</f>
        <v>1399.8999999999996</v>
      </c>
      <c r="D542" s="25">
        <f t="shared" ref="D542:D605" si="57">+YEAR(A542)*1000+MONTH(A542)</f>
        <v>2015010</v>
      </c>
    </row>
    <row r="543" spans="1:4" x14ac:dyDescent="0.25">
      <c r="A543" s="12">
        <f>+'Rainfall Data'!B542</f>
        <v>42282</v>
      </c>
      <c r="B543" s="26">
        <f>+'Rainfall Data'!C542</f>
        <v>7.5</v>
      </c>
      <c r="C543" s="26">
        <f t="shared" si="56"/>
        <v>1407.3999999999996</v>
      </c>
      <c r="D543" s="25">
        <f t="shared" si="57"/>
        <v>2015010</v>
      </c>
    </row>
    <row r="544" spans="1:4" x14ac:dyDescent="0.25">
      <c r="A544" s="12">
        <f>+'Rainfall Data'!B543</f>
        <v>42283</v>
      </c>
      <c r="B544" s="26" t="str">
        <f>+'Rainfall Data'!C543</f>
        <v>T</v>
      </c>
      <c r="C544" s="26">
        <f t="shared" si="56"/>
        <v>1407.3999999999996</v>
      </c>
      <c r="D544" s="25">
        <f t="shared" si="57"/>
        <v>2015010</v>
      </c>
    </row>
    <row r="545" spans="1:4" x14ac:dyDescent="0.25">
      <c r="A545" s="12">
        <f>+'Rainfall Data'!B544</f>
        <v>42284</v>
      </c>
      <c r="B545" s="26">
        <f>+'Rainfall Data'!C544</f>
        <v>20.5</v>
      </c>
      <c r="C545" s="26">
        <f t="shared" si="56"/>
        <v>1427.8999999999996</v>
      </c>
      <c r="D545" s="25">
        <f t="shared" si="57"/>
        <v>2015010</v>
      </c>
    </row>
    <row r="546" spans="1:4" x14ac:dyDescent="0.25">
      <c r="A546" s="12">
        <f>+'Rainfall Data'!B545</f>
        <v>42285</v>
      </c>
      <c r="B546" s="26">
        <f>+'Rainfall Data'!C545</f>
        <v>10</v>
      </c>
      <c r="C546" s="26">
        <f t="shared" si="56"/>
        <v>1437.8999999999996</v>
      </c>
      <c r="D546" s="25">
        <f t="shared" si="57"/>
        <v>2015010</v>
      </c>
    </row>
    <row r="547" spans="1:4" x14ac:dyDescent="0.25">
      <c r="A547" s="12">
        <f>+'Rainfall Data'!B546</f>
        <v>42286</v>
      </c>
      <c r="B547" s="26">
        <f>+'Rainfall Data'!C546</f>
        <v>26.5</v>
      </c>
      <c r="C547" s="26">
        <f t="shared" si="56"/>
        <v>1464.3999999999996</v>
      </c>
      <c r="D547" s="25">
        <f t="shared" si="57"/>
        <v>2015010</v>
      </c>
    </row>
    <row r="548" spans="1:4" x14ac:dyDescent="0.25">
      <c r="A548" s="12">
        <f>+'Rainfall Data'!B547</f>
        <v>42287</v>
      </c>
      <c r="B548" s="26">
        <f>+'Rainfall Data'!C547</f>
        <v>11</v>
      </c>
      <c r="C548" s="26">
        <f t="shared" si="56"/>
        <v>1475.3999999999996</v>
      </c>
      <c r="D548" s="25">
        <f t="shared" si="57"/>
        <v>2015010</v>
      </c>
    </row>
    <row r="549" spans="1:4" x14ac:dyDescent="0.25">
      <c r="A549" s="12">
        <f>+'Rainfall Data'!B548</f>
        <v>42288</v>
      </c>
      <c r="B549" s="26">
        <f>+'Rainfall Data'!C548</f>
        <v>16</v>
      </c>
      <c r="C549" s="26">
        <f t="shared" si="56"/>
        <v>1491.3999999999996</v>
      </c>
      <c r="D549" s="25">
        <f t="shared" si="57"/>
        <v>2015010</v>
      </c>
    </row>
    <row r="550" spans="1:4" x14ac:dyDescent="0.25">
      <c r="A550" s="12">
        <f>+'Rainfall Data'!B549</f>
        <v>42289</v>
      </c>
      <c r="B550" s="26">
        <f>+'Rainfall Data'!C549</f>
        <v>26</v>
      </c>
      <c r="C550" s="26">
        <f t="shared" si="56"/>
        <v>1517.3999999999996</v>
      </c>
      <c r="D550" s="25">
        <f t="shared" si="57"/>
        <v>2015010</v>
      </c>
    </row>
    <row r="551" spans="1:4" x14ac:dyDescent="0.25">
      <c r="A551" s="12">
        <f>+'Rainfall Data'!B550</f>
        <v>42290</v>
      </c>
      <c r="B551" s="26" t="str">
        <f>+'Rainfall Data'!C550</f>
        <v>T</v>
      </c>
      <c r="C551" s="26">
        <f t="shared" si="56"/>
        <v>1517.3999999999996</v>
      </c>
      <c r="D551" s="25">
        <f t="shared" si="57"/>
        <v>2015010</v>
      </c>
    </row>
    <row r="552" spans="1:4" x14ac:dyDescent="0.25">
      <c r="A552" s="12">
        <f>+'Rainfall Data'!B551</f>
        <v>42291</v>
      </c>
      <c r="B552" s="26">
        <f>+'Rainfall Data'!C551</f>
        <v>50.6</v>
      </c>
      <c r="C552" s="26">
        <f t="shared" si="56"/>
        <v>1567.9999999999995</v>
      </c>
      <c r="D552" s="25">
        <f t="shared" si="57"/>
        <v>2015010</v>
      </c>
    </row>
    <row r="553" spans="1:4" x14ac:dyDescent="0.25">
      <c r="A553" s="12">
        <f>+'Rainfall Data'!B552</f>
        <v>42292</v>
      </c>
      <c r="B553" s="26">
        <f>+'Rainfall Data'!C552</f>
        <v>25.5</v>
      </c>
      <c r="C553" s="26">
        <f t="shared" si="56"/>
        <v>1593.4999999999995</v>
      </c>
      <c r="D553" s="25">
        <f t="shared" si="57"/>
        <v>2015010</v>
      </c>
    </row>
    <row r="554" spans="1:4" x14ac:dyDescent="0.25">
      <c r="A554" s="12">
        <f>+'Rainfall Data'!B553</f>
        <v>42293</v>
      </c>
      <c r="B554" s="26">
        <f>+'Rainfall Data'!C553</f>
        <v>10</v>
      </c>
      <c r="C554" s="26">
        <f t="shared" si="56"/>
        <v>1603.4999999999995</v>
      </c>
      <c r="D554" s="25">
        <f t="shared" si="57"/>
        <v>2015010</v>
      </c>
    </row>
    <row r="555" spans="1:4" x14ac:dyDescent="0.25">
      <c r="A555" s="12">
        <f>+'Rainfall Data'!B554</f>
        <v>42294</v>
      </c>
      <c r="B555" s="26">
        <f>+'Rainfall Data'!C554</f>
        <v>17.5</v>
      </c>
      <c r="C555" s="26">
        <f t="shared" si="56"/>
        <v>1620.9999999999995</v>
      </c>
      <c r="D555" s="25">
        <f t="shared" si="57"/>
        <v>2015010</v>
      </c>
    </row>
    <row r="556" spans="1:4" x14ac:dyDescent="0.25">
      <c r="A556" s="12">
        <f>+'Rainfall Data'!B555</f>
        <v>42295</v>
      </c>
      <c r="B556" s="26">
        <f>+'Rainfall Data'!C555</f>
        <v>20.2</v>
      </c>
      <c r="C556" s="26">
        <f t="shared" si="56"/>
        <v>1641.1999999999996</v>
      </c>
      <c r="D556" s="25">
        <f t="shared" si="57"/>
        <v>2015010</v>
      </c>
    </row>
    <row r="557" spans="1:4" x14ac:dyDescent="0.25">
      <c r="A557" s="12">
        <f>+'Rainfall Data'!B556</f>
        <v>42296</v>
      </c>
      <c r="B557" s="26" t="str">
        <f>+'Rainfall Data'!C556</f>
        <v>T</v>
      </c>
      <c r="C557" s="26">
        <f t="shared" si="56"/>
        <v>1641.1999999999996</v>
      </c>
      <c r="D557" s="25">
        <f t="shared" si="57"/>
        <v>2015010</v>
      </c>
    </row>
    <row r="558" spans="1:4" x14ac:dyDescent="0.25">
      <c r="A558" s="12">
        <f>+'Rainfall Data'!B557</f>
        <v>42297</v>
      </c>
      <c r="B558" s="26">
        <f>+'Rainfall Data'!C557</f>
        <v>0</v>
      </c>
      <c r="C558" s="26">
        <f t="shared" si="56"/>
        <v>1641.1999999999996</v>
      </c>
      <c r="D558" s="25">
        <f t="shared" si="57"/>
        <v>2015010</v>
      </c>
    </row>
    <row r="559" spans="1:4" x14ac:dyDescent="0.25">
      <c r="A559" s="12">
        <f>+'Rainfall Data'!B558</f>
        <v>42298</v>
      </c>
      <c r="B559" s="26">
        <f>+'Rainfall Data'!C558</f>
        <v>0</v>
      </c>
      <c r="C559" s="26">
        <f t="shared" si="56"/>
        <v>1641.1999999999996</v>
      </c>
      <c r="D559" s="25">
        <f t="shared" si="57"/>
        <v>2015010</v>
      </c>
    </row>
    <row r="560" spans="1:4" x14ac:dyDescent="0.25">
      <c r="A560" s="12">
        <f>+'Rainfall Data'!B559</f>
        <v>42299</v>
      </c>
      <c r="B560" s="26">
        <f>+'Rainfall Data'!C559</f>
        <v>10</v>
      </c>
      <c r="C560" s="26">
        <f t="shared" si="56"/>
        <v>1651.1999999999996</v>
      </c>
      <c r="D560" s="25">
        <f t="shared" si="57"/>
        <v>2015010</v>
      </c>
    </row>
    <row r="561" spans="1:4" x14ac:dyDescent="0.25">
      <c r="A561" s="12">
        <f>+'Rainfall Data'!B560</f>
        <v>42300</v>
      </c>
      <c r="B561" s="26">
        <f>+'Rainfall Data'!C560</f>
        <v>14.5</v>
      </c>
      <c r="C561" s="26">
        <f t="shared" si="56"/>
        <v>1665.6999999999996</v>
      </c>
      <c r="D561" s="25">
        <f t="shared" si="57"/>
        <v>2015010</v>
      </c>
    </row>
    <row r="562" spans="1:4" x14ac:dyDescent="0.25">
      <c r="A562" s="12">
        <f>+'Rainfall Data'!B561</f>
        <v>42301</v>
      </c>
      <c r="B562" s="26">
        <f>+'Rainfall Data'!C561</f>
        <v>8.4</v>
      </c>
      <c r="C562" s="26">
        <f t="shared" si="56"/>
        <v>1674.0999999999997</v>
      </c>
      <c r="D562" s="25">
        <f t="shared" si="57"/>
        <v>2015010</v>
      </c>
    </row>
    <row r="563" spans="1:4" x14ac:dyDescent="0.25">
      <c r="A563" s="12">
        <f>+'Rainfall Data'!B562</f>
        <v>42302</v>
      </c>
      <c r="B563" s="26">
        <f>+'Rainfall Data'!C562</f>
        <v>16</v>
      </c>
      <c r="C563" s="26">
        <f t="shared" si="56"/>
        <v>1690.0999999999997</v>
      </c>
      <c r="D563" s="25">
        <f t="shared" si="57"/>
        <v>2015010</v>
      </c>
    </row>
    <row r="564" spans="1:4" x14ac:dyDescent="0.25">
      <c r="A564" s="12">
        <f>+'Rainfall Data'!B563</f>
        <v>42303</v>
      </c>
      <c r="B564" s="26">
        <f>+'Rainfall Data'!C563</f>
        <v>3.5</v>
      </c>
      <c r="C564" s="26">
        <f t="shared" si="56"/>
        <v>1693.5999999999997</v>
      </c>
      <c r="D564" s="25">
        <f t="shared" si="57"/>
        <v>2015010</v>
      </c>
    </row>
    <row r="565" spans="1:4" x14ac:dyDescent="0.25">
      <c r="A565" s="12">
        <f>+'Rainfall Data'!B564</f>
        <v>42304</v>
      </c>
      <c r="B565" s="26" t="str">
        <f>+'Rainfall Data'!C564</f>
        <v>T</v>
      </c>
      <c r="C565" s="26">
        <f t="shared" si="56"/>
        <v>1693.5999999999997</v>
      </c>
      <c r="D565" s="25">
        <f t="shared" si="57"/>
        <v>2015010</v>
      </c>
    </row>
    <row r="566" spans="1:4" x14ac:dyDescent="0.25">
      <c r="A566" s="12">
        <f>+'Rainfall Data'!B565</f>
        <v>42305</v>
      </c>
      <c r="B566" s="26">
        <f>+'Rainfall Data'!C565</f>
        <v>0</v>
      </c>
      <c r="C566" s="26">
        <f t="shared" si="56"/>
        <v>1693.5999999999997</v>
      </c>
      <c r="D566" s="25">
        <f t="shared" si="57"/>
        <v>2015010</v>
      </c>
    </row>
    <row r="567" spans="1:4" x14ac:dyDescent="0.25">
      <c r="A567" s="12">
        <f>+'Rainfall Data'!B566</f>
        <v>42306</v>
      </c>
      <c r="B567" s="26">
        <f>+'Rainfall Data'!C566</f>
        <v>20.5</v>
      </c>
      <c r="C567" s="26">
        <f t="shared" si="56"/>
        <v>1714.0999999999997</v>
      </c>
      <c r="D567" s="25">
        <f t="shared" si="57"/>
        <v>2015010</v>
      </c>
    </row>
    <row r="568" spans="1:4" x14ac:dyDescent="0.25">
      <c r="A568" s="12">
        <f>+'Rainfall Data'!B567</f>
        <v>42307</v>
      </c>
      <c r="B568" s="26">
        <f>+'Rainfall Data'!C567</f>
        <v>10</v>
      </c>
      <c r="C568" s="26">
        <f t="shared" si="56"/>
        <v>1724.0999999999997</v>
      </c>
      <c r="D568" s="25">
        <f t="shared" si="57"/>
        <v>2015010</v>
      </c>
    </row>
    <row r="569" spans="1:4" x14ac:dyDescent="0.25">
      <c r="A569" s="12">
        <f>+'Rainfall Data'!B568</f>
        <v>42308</v>
      </c>
      <c r="B569" s="26">
        <f>+'Rainfall Data'!C568</f>
        <v>16.5</v>
      </c>
      <c r="C569" s="26">
        <f t="shared" si="56"/>
        <v>1740.5999999999997</v>
      </c>
      <c r="D569" s="25">
        <f t="shared" si="57"/>
        <v>2015010</v>
      </c>
    </row>
    <row r="570" spans="1:4" x14ac:dyDescent="0.25">
      <c r="A570" s="12">
        <f>+'Rainfall Data'!B569</f>
        <v>42309</v>
      </c>
      <c r="B570" s="26">
        <f>+'Rainfall Data'!C569</f>
        <v>20</v>
      </c>
      <c r="C570" s="26">
        <f t="shared" si="56"/>
        <v>1760.5999999999997</v>
      </c>
      <c r="D570" s="25">
        <f t="shared" si="57"/>
        <v>2015011</v>
      </c>
    </row>
    <row r="571" spans="1:4" x14ac:dyDescent="0.25">
      <c r="A571" s="12">
        <f>+'Rainfall Data'!B570</f>
        <v>42310</v>
      </c>
      <c r="B571" s="26">
        <f>+'Rainfall Data'!C570</f>
        <v>10.5</v>
      </c>
      <c r="C571" s="26">
        <f t="shared" si="56"/>
        <v>1771.0999999999997</v>
      </c>
      <c r="D571" s="25">
        <f t="shared" si="57"/>
        <v>2015011</v>
      </c>
    </row>
    <row r="572" spans="1:4" x14ac:dyDescent="0.25">
      <c r="A572" s="12">
        <f>+'Rainfall Data'!B571</f>
        <v>42311</v>
      </c>
      <c r="B572" s="26" t="str">
        <f>+'Rainfall Data'!C571</f>
        <v>T</v>
      </c>
      <c r="C572" s="26">
        <f t="shared" si="56"/>
        <v>1771.0999999999997</v>
      </c>
      <c r="D572" s="25">
        <f t="shared" si="57"/>
        <v>2015011</v>
      </c>
    </row>
    <row r="573" spans="1:4" x14ac:dyDescent="0.25">
      <c r="A573" s="12">
        <f>+'Rainfall Data'!B572</f>
        <v>42312</v>
      </c>
      <c r="B573" s="26">
        <f>+'Rainfall Data'!C572</f>
        <v>14.6</v>
      </c>
      <c r="C573" s="26">
        <f t="shared" si="56"/>
        <v>1785.6999999999996</v>
      </c>
      <c r="D573" s="25">
        <f t="shared" si="57"/>
        <v>2015011</v>
      </c>
    </row>
    <row r="574" spans="1:4" x14ac:dyDescent="0.25">
      <c r="A574" s="12">
        <f>+'Rainfall Data'!B573</f>
        <v>42313</v>
      </c>
      <c r="B574" s="26">
        <f>+'Rainfall Data'!C573</f>
        <v>11.3</v>
      </c>
      <c r="C574" s="26">
        <f t="shared" si="56"/>
        <v>1796.9999999999995</v>
      </c>
      <c r="D574" s="25">
        <f t="shared" si="57"/>
        <v>2015011</v>
      </c>
    </row>
    <row r="575" spans="1:4" x14ac:dyDescent="0.25">
      <c r="A575" s="12">
        <f>+'Rainfall Data'!B574</f>
        <v>42314</v>
      </c>
      <c r="B575" s="26">
        <f>+'Rainfall Data'!C574</f>
        <v>16</v>
      </c>
      <c r="C575" s="26">
        <f t="shared" si="56"/>
        <v>1812.9999999999995</v>
      </c>
      <c r="D575" s="25">
        <f t="shared" si="57"/>
        <v>2015011</v>
      </c>
    </row>
    <row r="576" spans="1:4" x14ac:dyDescent="0.25">
      <c r="A576" s="12">
        <f>+'Rainfall Data'!B575</f>
        <v>42315</v>
      </c>
      <c r="B576" s="26" t="str">
        <f>+'Rainfall Data'!C575</f>
        <v>T</v>
      </c>
      <c r="C576" s="26">
        <f t="shared" si="56"/>
        <v>1812.9999999999995</v>
      </c>
      <c r="D576" s="25">
        <f t="shared" si="57"/>
        <v>2015011</v>
      </c>
    </row>
    <row r="577" spans="1:4" x14ac:dyDescent="0.25">
      <c r="A577" s="12">
        <f>+'Rainfall Data'!B576</f>
        <v>42316</v>
      </c>
      <c r="B577" s="26">
        <f>+'Rainfall Data'!C576</f>
        <v>10.8</v>
      </c>
      <c r="C577" s="26">
        <f t="shared" si="56"/>
        <v>1823.7999999999995</v>
      </c>
      <c r="D577" s="25">
        <f t="shared" si="57"/>
        <v>2015011</v>
      </c>
    </row>
    <row r="578" spans="1:4" x14ac:dyDescent="0.25">
      <c r="A578" s="12">
        <f>+'Rainfall Data'!B577</f>
        <v>42317</v>
      </c>
      <c r="B578" s="26">
        <f>+'Rainfall Data'!C577</f>
        <v>7.4</v>
      </c>
      <c r="C578" s="26">
        <f t="shared" si="56"/>
        <v>1831.1999999999996</v>
      </c>
      <c r="D578" s="25">
        <f t="shared" si="57"/>
        <v>2015011</v>
      </c>
    </row>
    <row r="579" spans="1:4" x14ac:dyDescent="0.25">
      <c r="A579" s="12">
        <f>+'Rainfall Data'!B578</f>
        <v>42318</v>
      </c>
      <c r="B579" s="26">
        <f>+'Rainfall Data'!C578</f>
        <v>0</v>
      </c>
      <c r="C579" s="26">
        <f t="shared" si="56"/>
        <v>1831.1999999999996</v>
      </c>
      <c r="D579" s="25">
        <f t="shared" si="57"/>
        <v>2015011</v>
      </c>
    </row>
    <row r="580" spans="1:4" x14ac:dyDescent="0.25">
      <c r="A580" s="12">
        <f>+'Rainfall Data'!B579</f>
        <v>42319</v>
      </c>
      <c r="B580" s="26">
        <f>+'Rainfall Data'!C579</f>
        <v>16.5</v>
      </c>
      <c r="C580" s="26">
        <f t="shared" si="56"/>
        <v>1847.6999999999996</v>
      </c>
      <c r="D580" s="25">
        <f t="shared" si="57"/>
        <v>2015011</v>
      </c>
    </row>
    <row r="581" spans="1:4" x14ac:dyDescent="0.25">
      <c r="A581" s="12">
        <f>+'Rainfall Data'!B580</f>
        <v>42320</v>
      </c>
      <c r="B581" s="26">
        <f>+'Rainfall Data'!C580</f>
        <v>10</v>
      </c>
      <c r="C581" s="26">
        <f t="shared" si="56"/>
        <v>1857.6999999999996</v>
      </c>
      <c r="D581" s="25">
        <f t="shared" si="57"/>
        <v>2015011</v>
      </c>
    </row>
    <row r="582" spans="1:4" x14ac:dyDescent="0.25">
      <c r="A582" s="12">
        <f>+'Rainfall Data'!B581</f>
        <v>42321</v>
      </c>
      <c r="B582" s="26" t="str">
        <f>+'Rainfall Data'!C581</f>
        <v>T</v>
      </c>
      <c r="C582" s="26">
        <f t="shared" si="56"/>
        <v>1857.6999999999996</v>
      </c>
      <c r="D582" s="25">
        <f t="shared" si="57"/>
        <v>2015011</v>
      </c>
    </row>
    <row r="583" spans="1:4" x14ac:dyDescent="0.25">
      <c r="A583" s="12">
        <f>+'Rainfall Data'!B582</f>
        <v>42322</v>
      </c>
      <c r="B583" s="26">
        <f>+'Rainfall Data'!C582</f>
        <v>16.3</v>
      </c>
      <c r="C583" s="26">
        <f t="shared" si="56"/>
        <v>1873.9999999999995</v>
      </c>
      <c r="D583" s="25">
        <f t="shared" si="57"/>
        <v>2015011</v>
      </c>
    </row>
    <row r="584" spans="1:4" x14ac:dyDescent="0.25">
      <c r="A584" s="12">
        <f>+'Rainfall Data'!B583</f>
        <v>42323</v>
      </c>
      <c r="B584" s="26">
        <f>+'Rainfall Data'!C583</f>
        <v>10</v>
      </c>
      <c r="C584" s="26">
        <f t="shared" si="56"/>
        <v>1883.9999999999995</v>
      </c>
      <c r="D584" s="25">
        <f t="shared" si="57"/>
        <v>2015011</v>
      </c>
    </row>
    <row r="585" spans="1:4" x14ac:dyDescent="0.25">
      <c r="A585" s="12">
        <f>+'Rainfall Data'!B584</f>
        <v>42324</v>
      </c>
      <c r="B585" s="26" t="str">
        <f>+'Rainfall Data'!C584</f>
        <v>T</v>
      </c>
      <c r="C585" s="26">
        <f t="shared" si="56"/>
        <v>1883.9999999999995</v>
      </c>
      <c r="D585" s="25">
        <f t="shared" si="57"/>
        <v>2015011</v>
      </c>
    </row>
    <row r="586" spans="1:4" x14ac:dyDescent="0.25">
      <c r="A586" s="12">
        <f>+'Rainfall Data'!B585</f>
        <v>42325</v>
      </c>
      <c r="B586" s="26">
        <f>+'Rainfall Data'!C585</f>
        <v>0</v>
      </c>
      <c r="C586" s="26">
        <f t="shared" si="56"/>
        <v>1883.9999999999995</v>
      </c>
      <c r="D586" s="25">
        <f t="shared" si="57"/>
        <v>2015011</v>
      </c>
    </row>
    <row r="587" spans="1:4" x14ac:dyDescent="0.25">
      <c r="A587" s="12">
        <f>+'Rainfall Data'!B586</f>
        <v>42326</v>
      </c>
      <c r="B587" s="26">
        <f>+'Rainfall Data'!C586</f>
        <v>0</v>
      </c>
      <c r="C587" s="26">
        <f t="shared" si="56"/>
        <v>1883.9999999999995</v>
      </c>
      <c r="D587" s="25">
        <f t="shared" si="57"/>
        <v>2015011</v>
      </c>
    </row>
    <row r="588" spans="1:4" x14ac:dyDescent="0.25">
      <c r="A588" s="12">
        <f>+'Rainfall Data'!B587</f>
        <v>42327</v>
      </c>
      <c r="B588" s="26">
        <f>+'Rainfall Data'!C587</f>
        <v>0</v>
      </c>
      <c r="C588" s="26">
        <f t="shared" si="56"/>
        <v>1883.9999999999995</v>
      </c>
      <c r="D588" s="25">
        <f t="shared" si="57"/>
        <v>2015011</v>
      </c>
    </row>
    <row r="589" spans="1:4" x14ac:dyDescent="0.25">
      <c r="A589" s="12">
        <f>+'Rainfall Data'!B588</f>
        <v>42328</v>
      </c>
      <c r="B589" s="26">
        <f>+'Rainfall Data'!C588</f>
        <v>0</v>
      </c>
      <c r="C589" s="26">
        <f t="shared" si="56"/>
        <v>1883.9999999999995</v>
      </c>
      <c r="D589" s="25">
        <f t="shared" si="57"/>
        <v>2015011</v>
      </c>
    </row>
    <row r="590" spans="1:4" x14ac:dyDescent="0.25">
      <c r="A590" s="12">
        <f>+'Rainfall Data'!B589</f>
        <v>42329</v>
      </c>
      <c r="B590" s="26" t="str">
        <f>+'Rainfall Data'!C589</f>
        <v>T</v>
      </c>
      <c r="C590" s="26">
        <f t="shared" si="56"/>
        <v>1883.9999999999995</v>
      </c>
      <c r="D590" s="25">
        <f t="shared" si="57"/>
        <v>2015011</v>
      </c>
    </row>
    <row r="591" spans="1:4" x14ac:dyDescent="0.25">
      <c r="A591" s="12">
        <f>+'Rainfall Data'!B590</f>
        <v>42330</v>
      </c>
      <c r="B591" s="26">
        <f>+'Rainfall Data'!C590</f>
        <v>0</v>
      </c>
      <c r="C591" s="26">
        <f t="shared" si="56"/>
        <v>1883.9999999999995</v>
      </c>
      <c r="D591" s="25">
        <f t="shared" si="57"/>
        <v>2015011</v>
      </c>
    </row>
    <row r="592" spans="1:4" x14ac:dyDescent="0.25">
      <c r="A592" s="12">
        <f>+'Rainfall Data'!B591</f>
        <v>42331</v>
      </c>
      <c r="B592" s="26">
        <f>+'Rainfall Data'!C591</f>
        <v>0</v>
      </c>
      <c r="C592" s="26">
        <f t="shared" si="56"/>
        <v>1883.9999999999995</v>
      </c>
      <c r="D592" s="25">
        <f t="shared" si="57"/>
        <v>2015011</v>
      </c>
    </row>
    <row r="593" spans="1:4" x14ac:dyDescent="0.25">
      <c r="A593" s="12">
        <f>+'Rainfall Data'!B592</f>
        <v>42332</v>
      </c>
      <c r="B593" s="26">
        <f>+'Rainfall Data'!C592</f>
        <v>0</v>
      </c>
      <c r="C593" s="26">
        <f t="shared" si="56"/>
        <v>1883.9999999999995</v>
      </c>
      <c r="D593" s="25">
        <f t="shared" si="57"/>
        <v>2015011</v>
      </c>
    </row>
    <row r="594" spans="1:4" x14ac:dyDescent="0.25">
      <c r="A594" s="12">
        <f>+'Rainfall Data'!B593</f>
        <v>42333</v>
      </c>
      <c r="B594" s="26">
        <f>+'Rainfall Data'!C593</f>
        <v>0</v>
      </c>
      <c r="C594" s="26">
        <f t="shared" si="56"/>
        <v>1883.9999999999995</v>
      </c>
      <c r="D594" s="25">
        <f t="shared" si="57"/>
        <v>2015011</v>
      </c>
    </row>
    <row r="595" spans="1:4" x14ac:dyDescent="0.25">
      <c r="A595" s="12">
        <f>+'Rainfall Data'!B594</f>
        <v>42334</v>
      </c>
      <c r="B595" s="26">
        <f>+'Rainfall Data'!C594</f>
        <v>0</v>
      </c>
      <c r="C595" s="26">
        <f t="shared" si="56"/>
        <v>1883.9999999999995</v>
      </c>
      <c r="D595" s="25">
        <f t="shared" si="57"/>
        <v>2015011</v>
      </c>
    </row>
    <row r="596" spans="1:4" x14ac:dyDescent="0.25">
      <c r="A596" s="12">
        <f>+'Rainfall Data'!B595</f>
        <v>42335</v>
      </c>
      <c r="B596" s="26">
        <f>+'Rainfall Data'!C595</f>
        <v>0</v>
      </c>
      <c r="C596" s="26">
        <f t="shared" si="56"/>
        <v>1883.9999999999995</v>
      </c>
      <c r="D596" s="25">
        <f t="shared" si="57"/>
        <v>2015011</v>
      </c>
    </row>
    <row r="597" spans="1:4" x14ac:dyDescent="0.25">
      <c r="A597" s="12">
        <f>+'Rainfall Data'!B596</f>
        <v>42336</v>
      </c>
      <c r="B597" s="26">
        <f>+'Rainfall Data'!C596</f>
        <v>0</v>
      </c>
      <c r="C597" s="26">
        <f t="shared" si="56"/>
        <v>1883.9999999999995</v>
      </c>
      <c r="D597" s="25">
        <f t="shared" si="57"/>
        <v>2015011</v>
      </c>
    </row>
    <row r="598" spans="1:4" x14ac:dyDescent="0.25">
      <c r="A598" s="12">
        <f>+'Rainfall Data'!B597</f>
        <v>42337</v>
      </c>
      <c r="B598" s="26">
        <f>+'Rainfall Data'!C597</f>
        <v>0</v>
      </c>
      <c r="C598" s="26">
        <f t="shared" si="56"/>
        <v>1883.9999999999995</v>
      </c>
      <c r="D598" s="25">
        <f t="shared" si="57"/>
        <v>2015011</v>
      </c>
    </row>
    <row r="599" spans="1:4" x14ac:dyDescent="0.25">
      <c r="A599" s="12">
        <f>+'Rainfall Data'!B598</f>
        <v>42338</v>
      </c>
      <c r="B599" s="26" t="str">
        <f>+'Rainfall Data'!C598</f>
        <v>nd</v>
      </c>
      <c r="C599" s="26">
        <f t="shared" si="56"/>
        <v>1883.9999999999995</v>
      </c>
      <c r="D599" s="25">
        <f t="shared" si="57"/>
        <v>2015011</v>
      </c>
    </row>
    <row r="600" spans="1:4" x14ac:dyDescent="0.25">
      <c r="A600" s="12">
        <f>+'Rainfall Data'!B599</f>
        <v>42339</v>
      </c>
      <c r="B600" s="26" t="str">
        <f>+'Rainfall Data'!C599</f>
        <v>nd</v>
      </c>
      <c r="C600" s="26">
        <f t="shared" si="56"/>
        <v>1883.9999999999995</v>
      </c>
      <c r="D600" s="25">
        <f t="shared" si="57"/>
        <v>2015012</v>
      </c>
    </row>
    <row r="601" spans="1:4" x14ac:dyDescent="0.25">
      <c r="A601" s="12">
        <f>+'Rainfall Data'!B600</f>
        <v>42340</v>
      </c>
      <c r="B601" s="26" t="str">
        <f>+'Rainfall Data'!C600</f>
        <v>nd</v>
      </c>
      <c r="C601" s="26">
        <f t="shared" si="56"/>
        <v>1883.9999999999995</v>
      </c>
      <c r="D601" s="25">
        <f t="shared" si="57"/>
        <v>2015012</v>
      </c>
    </row>
    <row r="602" spans="1:4" x14ac:dyDescent="0.25">
      <c r="A602" s="12">
        <f>+'Rainfall Data'!B601</f>
        <v>42341</v>
      </c>
      <c r="B602" s="26" t="str">
        <f>+'Rainfall Data'!C601</f>
        <v>nd</v>
      </c>
      <c r="C602" s="26">
        <f t="shared" si="56"/>
        <v>1883.9999999999995</v>
      </c>
      <c r="D602" s="25">
        <f t="shared" si="57"/>
        <v>2015012</v>
      </c>
    </row>
    <row r="603" spans="1:4" x14ac:dyDescent="0.25">
      <c r="A603" s="12">
        <f>+'Rainfall Data'!B602</f>
        <v>42342</v>
      </c>
      <c r="B603" s="26" t="str">
        <f>+'Rainfall Data'!C602</f>
        <v>nd</v>
      </c>
      <c r="C603" s="26">
        <f t="shared" si="56"/>
        <v>1883.9999999999995</v>
      </c>
      <c r="D603" s="25">
        <f t="shared" si="57"/>
        <v>2015012</v>
      </c>
    </row>
    <row r="604" spans="1:4" x14ac:dyDescent="0.25">
      <c r="A604" s="12">
        <f>+'Rainfall Data'!B603</f>
        <v>42343</v>
      </c>
      <c r="B604" s="26" t="str">
        <f>+'Rainfall Data'!C603</f>
        <v>nd</v>
      </c>
      <c r="C604" s="26">
        <f t="shared" si="56"/>
        <v>1883.9999999999995</v>
      </c>
      <c r="D604" s="25">
        <f t="shared" si="57"/>
        <v>2015012</v>
      </c>
    </row>
    <row r="605" spans="1:4" x14ac:dyDescent="0.25">
      <c r="A605" s="12">
        <f>+'Rainfall Data'!B604</f>
        <v>42344</v>
      </c>
      <c r="B605" s="26" t="str">
        <f>+'Rainfall Data'!C604</f>
        <v>nd</v>
      </c>
      <c r="C605" s="26">
        <f t="shared" si="56"/>
        <v>1883.9999999999995</v>
      </c>
      <c r="D605" s="25">
        <f t="shared" si="57"/>
        <v>2015012</v>
      </c>
    </row>
    <row r="606" spans="1:4" x14ac:dyDescent="0.25">
      <c r="A606" s="12">
        <f>+'Rainfall Data'!B605</f>
        <v>42345</v>
      </c>
      <c r="B606" s="26" t="str">
        <f>+'Rainfall Data'!C605</f>
        <v>nd</v>
      </c>
      <c r="C606" s="26">
        <f t="shared" ref="C606:C660" si="58">IF(B606="nd",0, IF(B606="T",0,B606))+C605</f>
        <v>1883.9999999999995</v>
      </c>
      <c r="D606" s="25">
        <f t="shared" ref="D606:D660" si="59">+YEAR(A606)*1000+MONTH(A606)</f>
        <v>2015012</v>
      </c>
    </row>
    <row r="607" spans="1:4" x14ac:dyDescent="0.25">
      <c r="A607" s="12">
        <f>+'Rainfall Data'!B606</f>
        <v>42346</v>
      </c>
      <c r="B607" s="26" t="str">
        <f>+'Rainfall Data'!C606</f>
        <v>nd</v>
      </c>
      <c r="C607" s="26">
        <f t="shared" si="58"/>
        <v>1883.9999999999995</v>
      </c>
      <c r="D607" s="25">
        <f t="shared" si="59"/>
        <v>2015012</v>
      </c>
    </row>
    <row r="608" spans="1:4" x14ac:dyDescent="0.25">
      <c r="A608" s="12">
        <f>+'Rainfall Data'!B607</f>
        <v>42347</v>
      </c>
      <c r="B608" s="26" t="str">
        <f>+'Rainfall Data'!C607</f>
        <v>nd</v>
      </c>
      <c r="C608" s="26">
        <f t="shared" si="58"/>
        <v>1883.9999999999995</v>
      </c>
      <c r="D608" s="25">
        <f t="shared" si="59"/>
        <v>2015012</v>
      </c>
    </row>
    <row r="609" spans="1:4" x14ac:dyDescent="0.25">
      <c r="A609" s="12">
        <f>+'Rainfall Data'!B608</f>
        <v>42348</v>
      </c>
      <c r="B609" s="26" t="str">
        <f>+'Rainfall Data'!C608</f>
        <v>nd</v>
      </c>
      <c r="C609" s="26">
        <f t="shared" si="58"/>
        <v>1883.9999999999995</v>
      </c>
      <c r="D609" s="25">
        <f t="shared" si="59"/>
        <v>2015012</v>
      </c>
    </row>
    <row r="610" spans="1:4" x14ac:dyDescent="0.25">
      <c r="A610" s="12">
        <f>+'Rainfall Data'!B609</f>
        <v>42349</v>
      </c>
      <c r="B610" s="26" t="str">
        <f>+'Rainfall Data'!C609</f>
        <v>nd</v>
      </c>
      <c r="C610" s="26">
        <f t="shared" si="58"/>
        <v>1883.9999999999995</v>
      </c>
      <c r="D610" s="25">
        <f t="shared" si="59"/>
        <v>2015012</v>
      </c>
    </row>
    <row r="611" spans="1:4" x14ac:dyDescent="0.25">
      <c r="A611" s="12">
        <f>+'Rainfall Data'!B610</f>
        <v>42350</v>
      </c>
      <c r="B611" s="26" t="str">
        <f>+'Rainfall Data'!C610</f>
        <v>nd</v>
      </c>
      <c r="C611" s="26">
        <f t="shared" si="58"/>
        <v>1883.9999999999995</v>
      </c>
      <c r="D611" s="25">
        <f t="shared" si="59"/>
        <v>2015012</v>
      </c>
    </row>
    <row r="612" spans="1:4" x14ac:dyDescent="0.25">
      <c r="A612" s="12">
        <f>+'Rainfall Data'!B611</f>
        <v>42351</v>
      </c>
      <c r="B612" s="26" t="str">
        <f>+'Rainfall Data'!C611</f>
        <v>nd</v>
      </c>
      <c r="C612" s="26">
        <f t="shared" si="58"/>
        <v>1883.9999999999995</v>
      </c>
      <c r="D612" s="25">
        <f t="shared" si="59"/>
        <v>2015012</v>
      </c>
    </row>
    <row r="613" spans="1:4" x14ac:dyDescent="0.25">
      <c r="A613" s="12">
        <f>+'Rainfall Data'!B612</f>
        <v>42352</v>
      </c>
      <c r="B613" s="26" t="str">
        <f>+'Rainfall Data'!C612</f>
        <v>nd</v>
      </c>
      <c r="C613" s="26">
        <f t="shared" si="58"/>
        <v>1883.9999999999995</v>
      </c>
      <c r="D613" s="25">
        <f t="shared" si="59"/>
        <v>2015012</v>
      </c>
    </row>
    <row r="614" spans="1:4" x14ac:dyDescent="0.25">
      <c r="A614" s="12">
        <f>+'Rainfall Data'!B613</f>
        <v>42353</v>
      </c>
      <c r="B614" s="26" t="str">
        <f>+'Rainfall Data'!C613</f>
        <v>nd</v>
      </c>
      <c r="C614" s="26">
        <f t="shared" si="58"/>
        <v>1883.9999999999995</v>
      </c>
      <c r="D614" s="25">
        <f t="shared" si="59"/>
        <v>2015012</v>
      </c>
    </row>
    <row r="615" spans="1:4" x14ac:dyDescent="0.25">
      <c r="A615" s="12">
        <f>+'Rainfall Data'!B614</f>
        <v>42354</v>
      </c>
      <c r="B615" s="26" t="str">
        <f>+'Rainfall Data'!C614</f>
        <v>nd</v>
      </c>
      <c r="C615" s="26">
        <f t="shared" si="58"/>
        <v>1883.9999999999995</v>
      </c>
      <c r="D615" s="25">
        <f t="shared" si="59"/>
        <v>2015012</v>
      </c>
    </row>
    <row r="616" spans="1:4" x14ac:dyDescent="0.25">
      <c r="A616" s="12">
        <f>+'Rainfall Data'!B615</f>
        <v>42355</v>
      </c>
      <c r="B616" s="26" t="str">
        <f>+'Rainfall Data'!C615</f>
        <v>nd</v>
      </c>
      <c r="C616" s="26">
        <f t="shared" si="58"/>
        <v>1883.9999999999995</v>
      </c>
      <c r="D616" s="25">
        <f t="shared" si="59"/>
        <v>2015012</v>
      </c>
    </row>
    <row r="617" spans="1:4" x14ac:dyDescent="0.25">
      <c r="A617" s="12">
        <f>+'Rainfall Data'!B616</f>
        <v>42356</v>
      </c>
      <c r="B617" s="26" t="str">
        <f>+'Rainfall Data'!C616</f>
        <v>nd</v>
      </c>
      <c r="C617" s="26">
        <f t="shared" si="58"/>
        <v>1883.9999999999995</v>
      </c>
      <c r="D617" s="25">
        <f t="shared" si="59"/>
        <v>2015012</v>
      </c>
    </row>
    <row r="618" spans="1:4" x14ac:dyDescent="0.25">
      <c r="A618" s="12">
        <f>+'Rainfall Data'!B617</f>
        <v>42357</v>
      </c>
      <c r="B618" s="26" t="str">
        <f>+'Rainfall Data'!C617</f>
        <v>nd</v>
      </c>
      <c r="C618" s="26">
        <f t="shared" si="58"/>
        <v>1883.9999999999995</v>
      </c>
      <c r="D618" s="25">
        <f t="shared" si="59"/>
        <v>2015012</v>
      </c>
    </row>
    <row r="619" spans="1:4" x14ac:dyDescent="0.25">
      <c r="A619" s="12">
        <f>+'Rainfall Data'!B618</f>
        <v>42358</v>
      </c>
      <c r="B619" s="26" t="str">
        <f>+'Rainfall Data'!C618</f>
        <v>nd</v>
      </c>
      <c r="C619" s="26">
        <f t="shared" si="58"/>
        <v>1883.9999999999995</v>
      </c>
      <c r="D619" s="25">
        <f t="shared" si="59"/>
        <v>2015012</v>
      </c>
    </row>
    <row r="620" spans="1:4" x14ac:dyDescent="0.25">
      <c r="A620" s="12">
        <f>+'Rainfall Data'!B619</f>
        <v>42359</v>
      </c>
      <c r="B620" s="26" t="str">
        <f>+'Rainfall Data'!C619</f>
        <v>nd</v>
      </c>
      <c r="C620" s="26">
        <f t="shared" si="58"/>
        <v>1883.9999999999995</v>
      </c>
      <c r="D620" s="25">
        <f t="shared" si="59"/>
        <v>2015012</v>
      </c>
    </row>
    <row r="621" spans="1:4" x14ac:dyDescent="0.25">
      <c r="A621" s="12">
        <f>+'Rainfall Data'!B620</f>
        <v>42360</v>
      </c>
      <c r="B621" s="26" t="str">
        <f>+'Rainfall Data'!C620</f>
        <v>nd</v>
      </c>
      <c r="C621" s="26">
        <f t="shared" si="58"/>
        <v>1883.9999999999995</v>
      </c>
      <c r="D621" s="25">
        <f t="shared" si="59"/>
        <v>2015012</v>
      </c>
    </row>
    <row r="622" spans="1:4" x14ac:dyDescent="0.25">
      <c r="A622" s="12">
        <f>+'Rainfall Data'!B621</f>
        <v>42361</v>
      </c>
      <c r="B622" s="26" t="str">
        <f>+'Rainfall Data'!C621</f>
        <v>nd</v>
      </c>
      <c r="C622" s="26">
        <f t="shared" si="58"/>
        <v>1883.9999999999995</v>
      </c>
      <c r="D622" s="25">
        <f t="shared" si="59"/>
        <v>2015012</v>
      </c>
    </row>
    <row r="623" spans="1:4" x14ac:dyDescent="0.25">
      <c r="A623" s="12">
        <f>+'Rainfall Data'!B622</f>
        <v>42362</v>
      </c>
      <c r="B623" s="26" t="str">
        <f>+'Rainfall Data'!C622</f>
        <v>nd</v>
      </c>
      <c r="C623" s="26">
        <f t="shared" si="58"/>
        <v>1883.9999999999995</v>
      </c>
      <c r="D623" s="25">
        <f t="shared" si="59"/>
        <v>2015012</v>
      </c>
    </row>
    <row r="624" spans="1:4" x14ac:dyDescent="0.25">
      <c r="A624" s="12">
        <f>+'Rainfall Data'!B623</f>
        <v>42363</v>
      </c>
      <c r="B624" s="26" t="str">
        <f>+'Rainfall Data'!C623</f>
        <v>nd</v>
      </c>
      <c r="C624" s="26">
        <f t="shared" si="58"/>
        <v>1883.9999999999995</v>
      </c>
      <c r="D624" s="25">
        <f t="shared" si="59"/>
        <v>2015012</v>
      </c>
    </row>
    <row r="625" spans="1:4" x14ac:dyDescent="0.25">
      <c r="A625" s="12">
        <f>+'Rainfall Data'!B624</f>
        <v>42364</v>
      </c>
      <c r="B625" s="26" t="str">
        <f>+'Rainfall Data'!C624</f>
        <v>nd</v>
      </c>
      <c r="C625" s="26">
        <f t="shared" si="58"/>
        <v>1883.9999999999995</v>
      </c>
      <c r="D625" s="25">
        <f t="shared" si="59"/>
        <v>2015012</v>
      </c>
    </row>
    <row r="626" spans="1:4" x14ac:dyDescent="0.25">
      <c r="A626" s="12">
        <f>+'Rainfall Data'!B625</f>
        <v>42365</v>
      </c>
      <c r="B626" s="26" t="str">
        <f>+'Rainfall Data'!C625</f>
        <v>nd</v>
      </c>
      <c r="C626" s="26">
        <f t="shared" si="58"/>
        <v>1883.9999999999995</v>
      </c>
      <c r="D626" s="25">
        <f t="shared" si="59"/>
        <v>2015012</v>
      </c>
    </row>
    <row r="627" spans="1:4" x14ac:dyDescent="0.25">
      <c r="A627" s="12">
        <f>+'Rainfall Data'!B626</f>
        <v>42366</v>
      </c>
      <c r="B627" s="26" t="str">
        <f>+'Rainfall Data'!C626</f>
        <v>nd</v>
      </c>
      <c r="C627" s="26">
        <f t="shared" si="58"/>
        <v>1883.9999999999995</v>
      </c>
      <c r="D627" s="25">
        <f t="shared" si="59"/>
        <v>2015012</v>
      </c>
    </row>
    <row r="628" spans="1:4" x14ac:dyDescent="0.25">
      <c r="A628" s="12">
        <f>+'Rainfall Data'!B627</f>
        <v>42367</v>
      </c>
      <c r="B628" s="26" t="str">
        <f>+'Rainfall Data'!C627</f>
        <v>nd</v>
      </c>
      <c r="C628" s="26">
        <f t="shared" si="58"/>
        <v>1883.9999999999995</v>
      </c>
      <c r="D628" s="25">
        <f t="shared" si="59"/>
        <v>2015012</v>
      </c>
    </row>
    <row r="629" spans="1:4" x14ac:dyDescent="0.25">
      <c r="A629" s="12">
        <f>+'Rainfall Data'!B628</f>
        <v>42368</v>
      </c>
      <c r="B629" s="26" t="str">
        <f>+'Rainfall Data'!C628</f>
        <v>nd</v>
      </c>
      <c r="C629" s="26">
        <f t="shared" si="58"/>
        <v>1883.9999999999995</v>
      </c>
      <c r="D629" s="25">
        <f t="shared" si="59"/>
        <v>2015012</v>
      </c>
    </row>
    <row r="630" spans="1:4" x14ac:dyDescent="0.25">
      <c r="A630" s="12">
        <f>+'Rainfall Data'!B629</f>
        <v>42369</v>
      </c>
      <c r="B630" s="26">
        <f>+'Rainfall Data'!C629</f>
        <v>0</v>
      </c>
      <c r="C630" s="26">
        <f t="shared" si="58"/>
        <v>1883.9999999999995</v>
      </c>
      <c r="D630" s="25">
        <f t="shared" si="59"/>
        <v>2015012</v>
      </c>
    </row>
    <row r="631" spans="1:4" x14ac:dyDescent="0.25">
      <c r="A631" s="12">
        <f>+'Rainfall Data'!B630</f>
        <v>42370</v>
      </c>
      <c r="B631" s="26">
        <f>+'Rainfall Data'!C630</f>
        <v>0</v>
      </c>
      <c r="C631" s="26">
        <f>IF(B631="nd",0, IF(B631="T",0,B631))</f>
        <v>0</v>
      </c>
      <c r="D631" s="25">
        <f t="shared" si="59"/>
        <v>2016001</v>
      </c>
    </row>
    <row r="632" spans="1:4" x14ac:dyDescent="0.25">
      <c r="A632" s="12">
        <f>+'Rainfall Data'!B631</f>
        <v>42371</v>
      </c>
      <c r="B632" s="26">
        <f>+'Rainfall Data'!C631</f>
        <v>0</v>
      </c>
      <c r="C632" s="26">
        <f t="shared" si="58"/>
        <v>0</v>
      </c>
      <c r="D632" s="25">
        <f t="shared" si="59"/>
        <v>2016001</v>
      </c>
    </row>
    <row r="633" spans="1:4" x14ac:dyDescent="0.25">
      <c r="A633" s="12">
        <f>+'Rainfall Data'!B632</f>
        <v>42372</v>
      </c>
      <c r="B633" s="26">
        <f>+'Rainfall Data'!C632</f>
        <v>0</v>
      </c>
      <c r="C633" s="26">
        <f t="shared" si="58"/>
        <v>0</v>
      </c>
      <c r="D633" s="25">
        <f t="shared" si="59"/>
        <v>2016001</v>
      </c>
    </row>
    <row r="634" spans="1:4" x14ac:dyDescent="0.25">
      <c r="A634" s="12">
        <f>+'Rainfall Data'!B633</f>
        <v>42373</v>
      </c>
      <c r="B634" s="26">
        <f>+'Rainfall Data'!C633</f>
        <v>0</v>
      </c>
      <c r="C634" s="26">
        <f t="shared" si="58"/>
        <v>0</v>
      </c>
      <c r="D634" s="25">
        <f t="shared" si="59"/>
        <v>2016001</v>
      </c>
    </row>
    <row r="635" spans="1:4" x14ac:dyDescent="0.25">
      <c r="A635" s="12">
        <f>+'Rainfall Data'!B634</f>
        <v>42374</v>
      </c>
      <c r="B635" s="26">
        <f>+'Rainfall Data'!C634</f>
        <v>0</v>
      </c>
      <c r="C635" s="26">
        <f t="shared" si="58"/>
        <v>0</v>
      </c>
      <c r="D635" s="25">
        <f t="shared" si="59"/>
        <v>2016001</v>
      </c>
    </row>
    <row r="636" spans="1:4" x14ac:dyDescent="0.25">
      <c r="A636" s="12">
        <f>+'Rainfall Data'!B635</f>
        <v>42375</v>
      </c>
      <c r="B636" s="26">
        <f>+'Rainfall Data'!C635</f>
        <v>0</v>
      </c>
      <c r="C636" s="26">
        <f t="shared" si="58"/>
        <v>0</v>
      </c>
      <c r="D636" s="25">
        <f t="shared" si="59"/>
        <v>2016001</v>
      </c>
    </row>
    <row r="637" spans="1:4" x14ac:dyDescent="0.25">
      <c r="A637" s="12">
        <f>+'Rainfall Data'!B636</f>
        <v>42376</v>
      </c>
      <c r="B637" s="26">
        <f>+'Rainfall Data'!C636</f>
        <v>0</v>
      </c>
      <c r="C637" s="26">
        <f t="shared" si="58"/>
        <v>0</v>
      </c>
      <c r="D637" s="25">
        <f t="shared" si="59"/>
        <v>2016001</v>
      </c>
    </row>
    <row r="638" spans="1:4" x14ac:dyDescent="0.25">
      <c r="A638" s="12">
        <f>+'Rainfall Data'!B637</f>
        <v>42377</v>
      </c>
      <c r="B638" s="26">
        <f>+'Rainfall Data'!C637</f>
        <v>0</v>
      </c>
      <c r="C638" s="26">
        <f t="shared" si="58"/>
        <v>0</v>
      </c>
      <c r="D638" s="25">
        <f t="shared" si="59"/>
        <v>2016001</v>
      </c>
    </row>
    <row r="639" spans="1:4" x14ac:dyDescent="0.25">
      <c r="A639" s="12">
        <f>+'Rainfall Data'!B638</f>
        <v>42378</v>
      </c>
      <c r="B639" s="26">
        <f>+'Rainfall Data'!C638</f>
        <v>0</v>
      </c>
      <c r="C639" s="26">
        <f t="shared" si="58"/>
        <v>0</v>
      </c>
      <c r="D639" s="25">
        <f t="shared" si="59"/>
        <v>2016001</v>
      </c>
    </row>
    <row r="640" spans="1:4" x14ac:dyDescent="0.25">
      <c r="A640" s="12">
        <f>+'Rainfall Data'!B639</f>
        <v>42379</v>
      </c>
      <c r="B640" s="26">
        <f>+'Rainfall Data'!C639</f>
        <v>0</v>
      </c>
      <c r="C640" s="26">
        <f t="shared" si="58"/>
        <v>0</v>
      </c>
      <c r="D640" s="25">
        <f t="shared" si="59"/>
        <v>2016001</v>
      </c>
    </row>
    <row r="641" spans="1:4" x14ac:dyDescent="0.25">
      <c r="A641" s="12">
        <f>+'Rainfall Data'!B640</f>
        <v>42380</v>
      </c>
      <c r="B641" s="26">
        <f>+'Rainfall Data'!C640</f>
        <v>0</v>
      </c>
      <c r="C641" s="26">
        <f t="shared" si="58"/>
        <v>0</v>
      </c>
      <c r="D641" s="25">
        <f t="shared" si="59"/>
        <v>2016001</v>
      </c>
    </row>
    <row r="642" spans="1:4" x14ac:dyDescent="0.25">
      <c r="A642" s="12">
        <f>+'Rainfall Data'!B641</f>
        <v>42381</v>
      </c>
      <c r="B642" s="26">
        <f>+'Rainfall Data'!C641</f>
        <v>0</v>
      </c>
      <c r="C642" s="26">
        <f t="shared" si="58"/>
        <v>0</v>
      </c>
      <c r="D642" s="25">
        <f t="shared" si="59"/>
        <v>2016001</v>
      </c>
    </row>
    <row r="643" spans="1:4" x14ac:dyDescent="0.25">
      <c r="A643" s="12">
        <f>+'Rainfall Data'!B642</f>
        <v>42382</v>
      </c>
      <c r="B643" s="26">
        <f>+'Rainfall Data'!C642</f>
        <v>3.4</v>
      </c>
      <c r="C643" s="26">
        <f t="shared" si="58"/>
        <v>3.4</v>
      </c>
      <c r="D643" s="25">
        <f t="shared" si="59"/>
        <v>2016001</v>
      </c>
    </row>
    <row r="644" spans="1:4" x14ac:dyDescent="0.25">
      <c r="A644" s="12">
        <f>+'Rainfall Data'!B643</f>
        <v>42383</v>
      </c>
      <c r="B644" s="26">
        <f>+'Rainfall Data'!C643</f>
        <v>10.199999999999999</v>
      </c>
      <c r="C644" s="26">
        <f t="shared" si="58"/>
        <v>13.6</v>
      </c>
      <c r="D644" s="25">
        <f t="shared" si="59"/>
        <v>2016001</v>
      </c>
    </row>
    <row r="645" spans="1:4" x14ac:dyDescent="0.25">
      <c r="A645" s="12">
        <f>+'Rainfall Data'!B644</f>
        <v>42384</v>
      </c>
      <c r="B645" s="26">
        <f>+'Rainfall Data'!C644</f>
        <v>0</v>
      </c>
      <c r="C645" s="26">
        <f t="shared" si="58"/>
        <v>13.6</v>
      </c>
      <c r="D645" s="25">
        <f t="shared" si="59"/>
        <v>2016001</v>
      </c>
    </row>
    <row r="646" spans="1:4" x14ac:dyDescent="0.25">
      <c r="A646" s="12">
        <f>+'Rainfall Data'!B645</f>
        <v>42385</v>
      </c>
      <c r="B646" s="26">
        <f>+'Rainfall Data'!C645</f>
        <v>0</v>
      </c>
      <c r="C646" s="26">
        <f t="shared" si="58"/>
        <v>13.6</v>
      </c>
      <c r="D646" s="25">
        <f t="shared" si="59"/>
        <v>2016001</v>
      </c>
    </row>
    <row r="647" spans="1:4" x14ac:dyDescent="0.25">
      <c r="A647" s="12">
        <f>+'Rainfall Data'!B646</f>
        <v>42386</v>
      </c>
      <c r="B647" s="26">
        <f>+'Rainfall Data'!C646</f>
        <v>0</v>
      </c>
      <c r="C647" s="26">
        <f t="shared" si="58"/>
        <v>13.6</v>
      </c>
      <c r="D647" s="25">
        <f t="shared" si="59"/>
        <v>2016001</v>
      </c>
    </row>
    <row r="648" spans="1:4" x14ac:dyDescent="0.25">
      <c r="A648" s="12">
        <f>+'Rainfall Data'!B647</f>
        <v>42387</v>
      </c>
      <c r="B648" s="26">
        <f>+'Rainfall Data'!C647</f>
        <v>0</v>
      </c>
      <c r="C648" s="26">
        <f t="shared" si="58"/>
        <v>13.6</v>
      </c>
      <c r="D648" s="25">
        <f t="shared" si="59"/>
        <v>2016001</v>
      </c>
    </row>
    <row r="649" spans="1:4" x14ac:dyDescent="0.25">
      <c r="A649" s="12">
        <f>+'Rainfall Data'!B648</f>
        <v>42388</v>
      </c>
      <c r="B649" s="26">
        <f>+'Rainfall Data'!C648</f>
        <v>0</v>
      </c>
      <c r="C649" s="26">
        <f t="shared" si="58"/>
        <v>13.6</v>
      </c>
      <c r="D649" s="25">
        <f t="shared" si="59"/>
        <v>2016001</v>
      </c>
    </row>
    <row r="650" spans="1:4" x14ac:dyDescent="0.25">
      <c r="A650" s="12">
        <f>+'Rainfall Data'!B649</f>
        <v>42389</v>
      </c>
      <c r="B650" s="26">
        <f>+'Rainfall Data'!C649</f>
        <v>0</v>
      </c>
      <c r="C650" s="26">
        <f t="shared" si="58"/>
        <v>13.6</v>
      </c>
      <c r="D650" s="25">
        <f t="shared" si="59"/>
        <v>2016001</v>
      </c>
    </row>
    <row r="651" spans="1:4" x14ac:dyDescent="0.25">
      <c r="A651" s="12">
        <f>+'Rainfall Data'!B650</f>
        <v>42390</v>
      </c>
      <c r="B651" s="26">
        <f>+'Rainfall Data'!C650</f>
        <v>0</v>
      </c>
      <c r="C651" s="26">
        <f t="shared" si="58"/>
        <v>13.6</v>
      </c>
      <c r="D651" s="25">
        <f t="shared" si="59"/>
        <v>2016001</v>
      </c>
    </row>
    <row r="652" spans="1:4" x14ac:dyDescent="0.25">
      <c r="A652" s="12">
        <f>+'Rainfall Data'!B651</f>
        <v>42391</v>
      </c>
      <c r="B652" s="26">
        <f>+'Rainfall Data'!C651</f>
        <v>0</v>
      </c>
      <c r="C652" s="26">
        <f t="shared" si="58"/>
        <v>13.6</v>
      </c>
      <c r="D652" s="25">
        <f t="shared" si="59"/>
        <v>2016001</v>
      </c>
    </row>
    <row r="653" spans="1:4" x14ac:dyDescent="0.25">
      <c r="A653" s="12">
        <f>+'Rainfall Data'!B652</f>
        <v>42392</v>
      </c>
      <c r="B653" s="26">
        <f>+'Rainfall Data'!C652</f>
        <v>0</v>
      </c>
      <c r="C653" s="26">
        <f t="shared" si="58"/>
        <v>13.6</v>
      </c>
      <c r="D653" s="25">
        <f t="shared" si="59"/>
        <v>2016001</v>
      </c>
    </row>
    <row r="654" spans="1:4" x14ac:dyDescent="0.25">
      <c r="A654" s="12">
        <f>+'Rainfall Data'!B653</f>
        <v>42393</v>
      </c>
      <c r="B654" s="26">
        <f>+'Rainfall Data'!C653</f>
        <v>0</v>
      </c>
      <c r="C654" s="26">
        <f t="shared" si="58"/>
        <v>13.6</v>
      </c>
      <c r="D654" s="25">
        <f t="shared" si="59"/>
        <v>2016001</v>
      </c>
    </row>
    <row r="655" spans="1:4" x14ac:dyDescent="0.25">
      <c r="A655" s="12">
        <f>+'Rainfall Data'!B654</f>
        <v>42394</v>
      </c>
      <c r="B655" s="26">
        <f>+'Rainfall Data'!C654</f>
        <v>0</v>
      </c>
      <c r="C655" s="26">
        <f t="shared" si="58"/>
        <v>13.6</v>
      </c>
      <c r="D655" s="25">
        <f t="shared" si="59"/>
        <v>2016001</v>
      </c>
    </row>
    <row r="656" spans="1:4" x14ac:dyDescent="0.25">
      <c r="A656" s="12">
        <f>+'Rainfall Data'!B655</f>
        <v>42395</v>
      </c>
      <c r="B656" s="26">
        <f>+'Rainfall Data'!C655</f>
        <v>0</v>
      </c>
      <c r="C656" s="26">
        <f t="shared" si="58"/>
        <v>13.6</v>
      </c>
      <c r="D656" s="25">
        <f t="shared" si="59"/>
        <v>2016001</v>
      </c>
    </row>
    <row r="657" spans="1:4" x14ac:dyDescent="0.25">
      <c r="A657" s="12">
        <f>+'Rainfall Data'!B656</f>
        <v>42396</v>
      </c>
      <c r="B657" s="26">
        <f>+'Rainfall Data'!C656</f>
        <v>0</v>
      </c>
      <c r="C657" s="26">
        <f t="shared" si="58"/>
        <v>13.6</v>
      </c>
      <c r="D657" s="25">
        <f t="shared" si="59"/>
        <v>2016001</v>
      </c>
    </row>
    <row r="658" spans="1:4" x14ac:dyDescent="0.25">
      <c r="A658" s="12">
        <f>+'Rainfall Data'!B657</f>
        <v>42397</v>
      </c>
      <c r="B658" s="26">
        <f>+'Rainfall Data'!C657</f>
        <v>0</v>
      </c>
      <c r="C658" s="26">
        <f t="shared" si="58"/>
        <v>13.6</v>
      </c>
      <c r="D658" s="25">
        <f t="shared" si="59"/>
        <v>2016001</v>
      </c>
    </row>
    <row r="659" spans="1:4" x14ac:dyDescent="0.25">
      <c r="A659" s="12">
        <f>+'Rainfall Data'!B658</f>
        <v>42398</v>
      </c>
      <c r="B659" s="26">
        <f>+'Rainfall Data'!C658</f>
        <v>0</v>
      </c>
      <c r="C659" s="26">
        <f t="shared" si="58"/>
        <v>13.6</v>
      </c>
      <c r="D659" s="25">
        <f t="shared" si="59"/>
        <v>2016001</v>
      </c>
    </row>
    <row r="660" spans="1:4" x14ac:dyDescent="0.25">
      <c r="A660" s="12">
        <f>+'Rainfall Data'!B659</f>
        <v>42399</v>
      </c>
      <c r="B660" s="26">
        <f>+'Rainfall Data'!C659</f>
        <v>0</v>
      </c>
      <c r="C660" s="26">
        <f t="shared" si="58"/>
        <v>13.6</v>
      </c>
      <c r="D660" s="25">
        <f t="shared" si="59"/>
        <v>2016001</v>
      </c>
    </row>
    <row r="661" spans="1:4" x14ac:dyDescent="0.25">
      <c r="A661" s="12">
        <f>+'Rainfall Data'!B660</f>
        <v>42400</v>
      </c>
      <c r="B661" s="26" t="str">
        <f>+'Rainfall Data'!C660</f>
        <v>nd</v>
      </c>
      <c r="C661" s="26">
        <f t="shared" ref="C661:C724" si="60">IF(B661="nd",0, IF(B661="T",0,B661))+C660</f>
        <v>13.6</v>
      </c>
      <c r="D661" s="25">
        <f t="shared" ref="D661:D724" si="61">+YEAR(A661)*1000+MONTH(A661)</f>
        <v>2016001</v>
      </c>
    </row>
    <row r="662" spans="1:4" x14ac:dyDescent="0.25">
      <c r="A662" s="12">
        <f>+'Rainfall Data'!B661</f>
        <v>42401</v>
      </c>
      <c r="B662" s="26" t="str">
        <f>+'Rainfall Data'!C661</f>
        <v>nd</v>
      </c>
      <c r="C662" s="26">
        <f t="shared" si="60"/>
        <v>13.6</v>
      </c>
      <c r="D662" s="25">
        <f t="shared" si="61"/>
        <v>2016002</v>
      </c>
    </row>
    <row r="663" spans="1:4" x14ac:dyDescent="0.25">
      <c r="A663" s="12">
        <f>+'Rainfall Data'!B662</f>
        <v>42402</v>
      </c>
      <c r="B663" s="26" t="str">
        <f>+'Rainfall Data'!C662</f>
        <v>nd</v>
      </c>
      <c r="C663" s="26">
        <f t="shared" si="60"/>
        <v>13.6</v>
      </c>
      <c r="D663" s="25">
        <f t="shared" si="61"/>
        <v>2016002</v>
      </c>
    </row>
    <row r="664" spans="1:4" x14ac:dyDescent="0.25">
      <c r="A664" s="12">
        <f>+'Rainfall Data'!B663</f>
        <v>42403</v>
      </c>
      <c r="B664" s="26" t="str">
        <f>+'Rainfall Data'!C663</f>
        <v>nd</v>
      </c>
      <c r="C664" s="26">
        <f t="shared" si="60"/>
        <v>13.6</v>
      </c>
      <c r="D664" s="25">
        <f t="shared" si="61"/>
        <v>2016002</v>
      </c>
    </row>
    <row r="665" spans="1:4" x14ac:dyDescent="0.25">
      <c r="A665" s="12">
        <f>+'Rainfall Data'!B664</f>
        <v>42404</v>
      </c>
      <c r="B665" s="26" t="str">
        <f>+'Rainfall Data'!C664</f>
        <v>nd</v>
      </c>
      <c r="C665" s="26">
        <f t="shared" si="60"/>
        <v>13.6</v>
      </c>
      <c r="D665" s="25">
        <f t="shared" si="61"/>
        <v>2016002</v>
      </c>
    </row>
    <row r="666" spans="1:4" x14ac:dyDescent="0.25">
      <c r="A666" s="12">
        <f>+'Rainfall Data'!B665</f>
        <v>42405</v>
      </c>
      <c r="B666" s="26" t="str">
        <f>+'Rainfall Data'!C665</f>
        <v>nd</v>
      </c>
      <c r="C666" s="26">
        <f t="shared" si="60"/>
        <v>13.6</v>
      </c>
      <c r="D666" s="25">
        <f t="shared" si="61"/>
        <v>2016002</v>
      </c>
    </row>
    <row r="667" spans="1:4" x14ac:dyDescent="0.25">
      <c r="A667" s="12">
        <f>+'Rainfall Data'!B666</f>
        <v>42406</v>
      </c>
      <c r="B667" s="26" t="str">
        <f>+'Rainfall Data'!C666</f>
        <v>nd</v>
      </c>
      <c r="C667" s="26">
        <f t="shared" si="60"/>
        <v>13.6</v>
      </c>
      <c r="D667" s="25">
        <f t="shared" si="61"/>
        <v>2016002</v>
      </c>
    </row>
    <row r="668" spans="1:4" x14ac:dyDescent="0.25">
      <c r="A668" s="12">
        <f>+'Rainfall Data'!B667</f>
        <v>42407</v>
      </c>
      <c r="B668" s="26" t="str">
        <f>+'Rainfall Data'!C667</f>
        <v>nd</v>
      </c>
      <c r="C668" s="26">
        <f t="shared" si="60"/>
        <v>13.6</v>
      </c>
      <c r="D668" s="25">
        <f t="shared" si="61"/>
        <v>2016002</v>
      </c>
    </row>
    <row r="669" spans="1:4" x14ac:dyDescent="0.25">
      <c r="A669" s="12">
        <f>+'Rainfall Data'!B668</f>
        <v>42408</v>
      </c>
      <c r="B669" s="26" t="str">
        <f>+'Rainfall Data'!C668</f>
        <v>nd</v>
      </c>
      <c r="C669" s="26">
        <f t="shared" si="60"/>
        <v>13.6</v>
      </c>
      <c r="D669" s="25">
        <f t="shared" si="61"/>
        <v>2016002</v>
      </c>
    </row>
    <row r="670" spans="1:4" x14ac:dyDescent="0.25">
      <c r="A670" s="12">
        <f>+'Rainfall Data'!B669</f>
        <v>42409</v>
      </c>
      <c r="B670" s="26" t="str">
        <f>+'Rainfall Data'!C669</f>
        <v>nd</v>
      </c>
      <c r="C670" s="26">
        <f t="shared" si="60"/>
        <v>13.6</v>
      </c>
      <c r="D670" s="25">
        <f t="shared" si="61"/>
        <v>2016002</v>
      </c>
    </row>
    <row r="671" spans="1:4" x14ac:dyDescent="0.25">
      <c r="A671" s="12">
        <f>+'Rainfall Data'!B670</f>
        <v>42410</v>
      </c>
      <c r="B671" s="26" t="str">
        <f>+'Rainfall Data'!C670</f>
        <v>nd</v>
      </c>
      <c r="C671" s="26">
        <f t="shared" si="60"/>
        <v>13.6</v>
      </c>
      <c r="D671" s="25">
        <f t="shared" si="61"/>
        <v>2016002</v>
      </c>
    </row>
    <row r="672" spans="1:4" x14ac:dyDescent="0.25">
      <c r="A672" s="12">
        <f>+'Rainfall Data'!B671</f>
        <v>42411</v>
      </c>
      <c r="B672" s="26" t="str">
        <f>+'Rainfall Data'!C671</f>
        <v>nd</v>
      </c>
      <c r="C672" s="26">
        <f t="shared" si="60"/>
        <v>13.6</v>
      </c>
      <c r="D672" s="25">
        <f t="shared" si="61"/>
        <v>2016002</v>
      </c>
    </row>
    <row r="673" spans="1:4" x14ac:dyDescent="0.25">
      <c r="A673" s="12">
        <f>+'Rainfall Data'!B672</f>
        <v>42412</v>
      </c>
      <c r="B673" s="26" t="str">
        <f>+'Rainfall Data'!C672</f>
        <v>nd</v>
      </c>
      <c r="C673" s="26">
        <f t="shared" si="60"/>
        <v>13.6</v>
      </c>
      <c r="D673" s="25">
        <f t="shared" si="61"/>
        <v>2016002</v>
      </c>
    </row>
    <row r="674" spans="1:4" x14ac:dyDescent="0.25">
      <c r="A674" s="12">
        <f>+'Rainfall Data'!B673</f>
        <v>42413</v>
      </c>
      <c r="B674" s="26" t="str">
        <f>+'Rainfall Data'!C673</f>
        <v>nd</v>
      </c>
      <c r="C674" s="26">
        <f t="shared" si="60"/>
        <v>13.6</v>
      </c>
      <c r="D674" s="25">
        <f t="shared" si="61"/>
        <v>2016002</v>
      </c>
    </row>
    <row r="675" spans="1:4" x14ac:dyDescent="0.25">
      <c r="A675" s="12">
        <f>+'Rainfall Data'!B674</f>
        <v>42414</v>
      </c>
      <c r="B675" s="26" t="str">
        <f>+'Rainfall Data'!C674</f>
        <v>nd</v>
      </c>
      <c r="C675" s="26">
        <f t="shared" si="60"/>
        <v>13.6</v>
      </c>
      <c r="D675" s="25">
        <f t="shared" si="61"/>
        <v>2016002</v>
      </c>
    </row>
    <row r="676" spans="1:4" x14ac:dyDescent="0.25">
      <c r="A676" s="12">
        <f>+'Rainfall Data'!B675</f>
        <v>42415</v>
      </c>
      <c r="B676" s="26" t="str">
        <f>+'Rainfall Data'!C675</f>
        <v>nd</v>
      </c>
      <c r="C676" s="26">
        <f t="shared" si="60"/>
        <v>13.6</v>
      </c>
      <c r="D676" s="25">
        <f t="shared" si="61"/>
        <v>2016002</v>
      </c>
    </row>
    <row r="677" spans="1:4" x14ac:dyDescent="0.25">
      <c r="A677" s="12">
        <f>+'Rainfall Data'!B676</f>
        <v>42416</v>
      </c>
      <c r="B677" s="26" t="str">
        <f>+'Rainfall Data'!C676</f>
        <v>nd</v>
      </c>
      <c r="C677" s="26">
        <f t="shared" si="60"/>
        <v>13.6</v>
      </c>
      <c r="D677" s="25">
        <f t="shared" si="61"/>
        <v>2016002</v>
      </c>
    </row>
    <row r="678" spans="1:4" x14ac:dyDescent="0.25">
      <c r="A678" s="12">
        <f>+'Rainfall Data'!B677</f>
        <v>42417</v>
      </c>
      <c r="B678" s="26" t="str">
        <f>+'Rainfall Data'!C677</f>
        <v>nd</v>
      </c>
      <c r="C678" s="26">
        <f t="shared" si="60"/>
        <v>13.6</v>
      </c>
      <c r="D678" s="25">
        <f t="shared" si="61"/>
        <v>2016002</v>
      </c>
    </row>
    <row r="679" spans="1:4" x14ac:dyDescent="0.25">
      <c r="A679" s="12">
        <f>+'Rainfall Data'!B678</f>
        <v>42418</v>
      </c>
      <c r="B679" s="26" t="str">
        <f>+'Rainfall Data'!C678</f>
        <v>nd</v>
      </c>
      <c r="C679" s="26">
        <f t="shared" si="60"/>
        <v>13.6</v>
      </c>
      <c r="D679" s="25">
        <f t="shared" si="61"/>
        <v>2016002</v>
      </c>
    </row>
    <row r="680" spans="1:4" x14ac:dyDescent="0.25">
      <c r="A680" s="12">
        <f>+'Rainfall Data'!B679</f>
        <v>42419</v>
      </c>
      <c r="B680" s="26" t="str">
        <f>+'Rainfall Data'!C679</f>
        <v>nd</v>
      </c>
      <c r="C680" s="26">
        <f t="shared" si="60"/>
        <v>13.6</v>
      </c>
      <c r="D680" s="25">
        <f t="shared" si="61"/>
        <v>2016002</v>
      </c>
    </row>
    <row r="681" spans="1:4" x14ac:dyDescent="0.25">
      <c r="A681" s="12">
        <f>+'Rainfall Data'!B680</f>
        <v>42420</v>
      </c>
      <c r="B681" s="26" t="str">
        <f>+'Rainfall Data'!C680</f>
        <v>nd</v>
      </c>
      <c r="C681" s="26">
        <f t="shared" si="60"/>
        <v>13.6</v>
      </c>
      <c r="D681" s="25">
        <f t="shared" si="61"/>
        <v>2016002</v>
      </c>
    </row>
    <row r="682" spans="1:4" x14ac:dyDescent="0.25">
      <c r="A682" s="12">
        <f>+'Rainfall Data'!B681</f>
        <v>42421</v>
      </c>
      <c r="B682" s="26" t="str">
        <f>+'Rainfall Data'!C681</f>
        <v>nd</v>
      </c>
      <c r="C682" s="26">
        <f t="shared" si="60"/>
        <v>13.6</v>
      </c>
      <c r="D682" s="25">
        <f t="shared" si="61"/>
        <v>2016002</v>
      </c>
    </row>
    <row r="683" spans="1:4" x14ac:dyDescent="0.25">
      <c r="A683" s="12">
        <f>+'Rainfall Data'!B682</f>
        <v>42422</v>
      </c>
      <c r="B683" s="26" t="str">
        <f>+'Rainfall Data'!C682</f>
        <v>nd</v>
      </c>
      <c r="C683" s="26">
        <f t="shared" si="60"/>
        <v>13.6</v>
      </c>
      <c r="D683" s="25">
        <f t="shared" si="61"/>
        <v>2016002</v>
      </c>
    </row>
    <row r="684" spans="1:4" x14ac:dyDescent="0.25">
      <c r="A684" s="12">
        <f>+'Rainfall Data'!B683</f>
        <v>42423</v>
      </c>
      <c r="B684" s="26" t="str">
        <f>+'Rainfall Data'!C683</f>
        <v>nd</v>
      </c>
      <c r="C684" s="26">
        <f t="shared" si="60"/>
        <v>13.6</v>
      </c>
      <c r="D684" s="25">
        <f t="shared" si="61"/>
        <v>2016002</v>
      </c>
    </row>
    <row r="685" spans="1:4" x14ac:dyDescent="0.25">
      <c r="A685" s="12">
        <f>+'Rainfall Data'!B684</f>
        <v>42424</v>
      </c>
      <c r="B685" s="26" t="str">
        <f>+'Rainfall Data'!C684</f>
        <v>nd</v>
      </c>
      <c r="C685" s="26">
        <f t="shared" si="60"/>
        <v>13.6</v>
      </c>
      <c r="D685" s="25">
        <f t="shared" si="61"/>
        <v>2016002</v>
      </c>
    </row>
    <row r="686" spans="1:4" x14ac:dyDescent="0.25">
      <c r="A686" s="12">
        <f>+'Rainfall Data'!B685</f>
        <v>42425</v>
      </c>
      <c r="B686" s="26" t="str">
        <f>+'Rainfall Data'!C685</f>
        <v>nd</v>
      </c>
      <c r="C686" s="26">
        <f t="shared" si="60"/>
        <v>13.6</v>
      </c>
      <c r="D686" s="25">
        <f t="shared" si="61"/>
        <v>2016002</v>
      </c>
    </row>
    <row r="687" spans="1:4" x14ac:dyDescent="0.25">
      <c r="A687" s="12">
        <f>+'Rainfall Data'!B686</f>
        <v>42426</v>
      </c>
      <c r="B687" s="26" t="str">
        <f>+'Rainfall Data'!C686</f>
        <v>nd</v>
      </c>
      <c r="C687" s="26">
        <f t="shared" si="60"/>
        <v>13.6</v>
      </c>
      <c r="D687" s="25">
        <f t="shared" si="61"/>
        <v>2016002</v>
      </c>
    </row>
    <row r="688" spans="1:4" x14ac:dyDescent="0.25">
      <c r="A688" s="12">
        <f>+'Rainfall Data'!B687</f>
        <v>42427</v>
      </c>
      <c r="B688" s="26" t="str">
        <f>+'Rainfall Data'!C687</f>
        <v>nd</v>
      </c>
      <c r="C688" s="26">
        <f t="shared" si="60"/>
        <v>13.6</v>
      </c>
      <c r="D688" s="25">
        <f t="shared" si="61"/>
        <v>2016002</v>
      </c>
    </row>
    <row r="689" spans="1:4" x14ac:dyDescent="0.25">
      <c r="A689" s="12">
        <f>+'Rainfall Data'!B688</f>
        <v>42428</v>
      </c>
      <c r="B689" s="26" t="str">
        <f>+'Rainfall Data'!C688</f>
        <v>nd</v>
      </c>
      <c r="C689" s="26">
        <f t="shared" si="60"/>
        <v>13.6</v>
      </c>
      <c r="D689" s="25">
        <f t="shared" si="61"/>
        <v>2016002</v>
      </c>
    </row>
    <row r="690" spans="1:4" x14ac:dyDescent="0.25">
      <c r="A690" s="12">
        <f>+'Rainfall Data'!B689</f>
        <v>42429</v>
      </c>
      <c r="B690" s="26" t="str">
        <f>+'Rainfall Data'!C689</f>
        <v>nd</v>
      </c>
      <c r="C690" s="26">
        <f t="shared" si="60"/>
        <v>13.6</v>
      </c>
      <c r="D690" s="25">
        <f t="shared" si="61"/>
        <v>2016002</v>
      </c>
    </row>
    <row r="691" spans="1:4" x14ac:dyDescent="0.25">
      <c r="A691" s="12">
        <f>+'Rainfall Data'!B690</f>
        <v>42430</v>
      </c>
      <c r="B691" s="26" t="str">
        <f>+'Rainfall Data'!C690</f>
        <v>nd</v>
      </c>
      <c r="C691" s="26">
        <f t="shared" si="60"/>
        <v>13.6</v>
      </c>
      <c r="D691" s="25">
        <f t="shared" si="61"/>
        <v>2016003</v>
      </c>
    </row>
    <row r="692" spans="1:4" x14ac:dyDescent="0.25">
      <c r="A692" s="12">
        <f>+'Rainfall Data'!B691</f>
        <v>42431</v>
      </c>
      <c r="B692" s="26" t="str">
        <f>+'Rainfall Data'!C691</f>
        <v>nd</v>
      </c>
      <c r="C692" s="26">
        <f t="shared" si="60"/>
        <v>13.6</v>
      </c>
      <c r="D692" s="25">
        <f t="shared" si="61"/>
        <v>2016003</v>
      </c>
    </row>
    <row r="693" spans="1:4" x14ac:dyDescent="0.25">
      <c r="A693" s="12">
        <f>+'Rainfall Data'!B692</f>
        <v>42432</v>
      </c>
      <c r="B693" s="26" t="str">
        <f>+'Rainfall Data'!C692</f>
        <v>nd</v>
      </c>
      <c r="C693" s="26">
        <f t="shared" si="60"/>
        <v>13.6</v>
      </c>
      <c r="D693" s="25">
        <f t="shared" si="61"/>
        <v>2016003</v>
      </c>
    </row>
    <row r="694" spans="1:4" x14ac:dyDescent="0.25">
      <c r="A694" s="12">
        <f>+'Rainfall Data'!B693</f>
        <v>42433</v>
      </c>
      <c r="B694" s="26" t="str">
        <f>+'Rainfall Data'!C693</f>
        <v>nd</v>
      </c>
      <c r="C694" s="26">
        <f t="shared" si="60"/>
        <v>13.6</v>
      </c>
      <c r="D694" s="25">
        <f t="shared" si="61"/>
        <v>2016003</v>
      </c>
    </row>
    <row r="695" spans="1:4" x14ac:dyDescent="0.25">
      <c r="A695" s="12">
        <f>+'Rainfall Data'!B694</f>
        <v>42434</v>
      </c>
      <c r="B695" s="26" t="str">
        <f>+'Rainfall Data'!C694</f>
        <v>nd</v>
      </c>
      <c r="C695" s="26">
        <f t="shared" si="60"/>
        <v>13.6</v>
      </c>
      <c r="D695" s="25">
        <f t="shared" si="61"/>
        <v>2016003</v>
      </c>
    </row>
    <row r="696" spans="1:4" x14ac:dyDescent="0.25">
      <c r="A696" s="12">
        <f>+'Rainfall Data'!B695</f>
        <v>42435</v>
      </c>
      <c r="B696" s="26" t="str">
        <f>+'Rainfall Data'!C695</f>
        <v>nd</v>
      </c>
      <c r="C696" s="26">
        <f t="shared" si="60"/>
        <v>13.6</v>
      </c>
      <c r="D696" s="25">
        <f t="shared" si="61"/>
        <v>2016003</v>
      </c>
    </row>
    <row r="697" spans="1:4" x14ac:dyDescent="0.25">
      <c r="A697" s="12">
        <f>+'Rainfall Data'!B696</f>
        <v>42436</v>
      </c>
      <c r="B697" s="26" t="str">
        <f>+'Rainfall Data'!C696</f>
        <v>nd</v>
      </c>
      <c r="C697" s="26">
        <f t="shared" si="60"/>
        <v>13.6</v>
      </c>
      <c r="D697" s="25">
        <f t="shared" si="61"/>
        <v>2016003</v>
      </c>
    </row>
    <row r="698" spans="1:4" x14ac:dyDescent="0.25">
      <c r="A698" s="12">
        <f>+'Rainfall Data'!B697</f>
        <v>42437</v>
      </c>
      <c r="B698" s="26" t="str">
        <f>+'Rainfall Data'!C697</f>
        <v>nd</v>
      </c>
      <c r="C698" s="26">
        <f t="shared" si="60"/>
        <v>13.6</v>
      </c>
      <c r="D698" s="25">
        <f t="shared" si="61"/>
        <v>2016003</v>
      </c>
    </row>
    <row r="699" spans="1:4" x14ac:dyDescent="0.25">
      <c r="A699" s="12">
        <f>+'Rainfall Data'!B698</f>
        <v>42438</v>
      </c>
      <c r="B699" s="26" t="str">
        <f>+'Rainfall Data'!C698</f>
        <v>nd</v>
      </c>
      <c r="C699" s="26">
        <f t="shared" si="60"/>
        <v>13.6</v>
      </c>
      <c r="D699" s="25">
        <f t="shared" si="61"/>
        <v>2016003</v>
      </c>
    </row>
    <row r="700" spans="1:4" x14ac:dyDescent="0.25">
      <c r="A700" s="12">
        <f>+'Rainfall Data'!B699</f>
        <v>42439</v>
      </c>
      <c r="B700" s="26" t="str">
        <f>+'Rainfall Data'!C699</f>
        <v>nd</v>
      </c>
      <c r="C700" s="26">
        <f t="shared" si="60"/>
        <v>13.6</v>
      </c>
      <c r="D700" s="25">
        <f t="shared" si="61"/>
        <v>2016003</v>
      </c>
    </row>
    <row r="701" spans="1:4" x14ac:dyDescent="0.25">
      <c r="A701" s="12">
        <f>+'Rainfall Data'!B700</f>
        <v>42440</v>
      </c>
      <c r="B701" s="26" t="str">
        <f>+'Rainfall Data'!C700</f>
        <v>nd</v>
      </c>
      <c r="C701" s="26">
        <f t="shared" si="60"/>
        <v>13.6</v>
      </c>
      <c r="D701" s="25">
        <f t="shared" si="61"/>
        <v>2016003</v>
      </c>
    </row>
    <row r="702" spans="1:4" x14ac:dyDescent="0.25">
      <c r="A702" s="12">
        <f>+'Rainfall Data'!B701</f>
        <v>42441</v>
      </c>
      <c r="B702" s="26" t="str">
        <f>+'Rainfall Data'!C701</f>
        <v>nd</v>
      </c>
      <c r="C702" s="26">
        <f t="shared" si="60"/>
        <v>13.6</v>
      </c>
      <c r="D702" s="25">
        <f t="shared" si="61"/>
        <v>2016003</v>
      </c>
    </row>
    <row r="703" spans="1:4" x14ac:dyDescent="0.25">
      <c r="A703" s="12">
        <f>+'Rainfall Data'!B702</f>
        <v>42442</v>
      </c>
      <c r="B703" s="26" t="str">
        <f>+'Rainfall Data'!C702</f>
        <v>nd</v>
      </c>
      <c r="C703" s="26">
        <f t="shared" si="60"/>
        <v>13.6</v>
      </c>
      <c r="D703" s="25">
        <f t="shared" si="61"/>
        <v>2016003</v>
      </c>
    </row>
    <row r="704" spans="1:4" x14ac:dyDescent="0.25">
      <c r="A704" s="12">
        <f>+'Rainfall Data'!B703</f>
        <v>42443</v>
      </c>
      <c r="B704" s="26" t="str">
        <f>+'Rainfall Data'!C703</f>
        <v>nd</v>
      </c>
      <c r="C704" s="26">
        <f t="shared" si="60"/>
        <v>13.6</v>
      </c>
      <c r="D704" s="25">
        <f t="shared" si="61"/>
        <v>2016003</v>
      </c>
    </row>
    <row r="705" spans="1:4" x14ac:dyDescent="0.25">
      <c r="A705" s="12">
        <f>+'Rainfall Data'!B704</f>
        <v>42444</v>
      </c>
      <c r="B705" s="26" t="str">
        <f>+'Rainfall Data'!C704</f>
        <v>nd</v>
      </c>
      <c r="C705" s="26">
        <f t="shared" si="60"/>
        <v>13.6</v>
      </c>
      <c r="D705" s="25">
        <f t="shared" si="61"/>
        <v>2016003</v>
      </c>
    </row>
    <row r="706" spans="1:4" x14ac:dyDescent="0.25">
      <c r="A706" s="12">
        <f>+'Rainfall Data'!B705</f>
        <v>42445</v>
      </c>
      <c r="B706" s="26" t="str">
        <f>+'Rainfall Data'!C705</f>
        <v>nd</v>
      </c>
      <c r="C706" s="26">
        <f t="shared" si="60"/>
        <v>13.6</v>
      </c>
      <c r="D706" s="25">
        <f t="shared" si="61"/>
        <v>2016003</v>
      </c>
    </row>
    <row r="707" spans="1:4" x14ac:dyDescent="0.25">
      <c r="A707" s="12">
        <f>+'Rainfall Data'!B706</f>
        <v>42446</v>
      </c>
      <c r="B707" s="26" t="str">
        <f>+'Rainfall Data'!C706</f>
        <v>nd</v>
      </c>
      <c r="C707" s="26">
        <f t="shared" si="60"/>
        <v>13.6</v>
      </c>
      <c r="D707" s="25">
        <f t="shared" si="61"/>
        <v>2016003</v>
      </c>
    </row>
    <row r="708" spans="1:4" x14ac:dyDescent="0.25">
      <c r="A708" s="12">
        <f>+'Rainfall Data'!B707</f>
        <v>42447</v>
      </c>
      <c r="B708" s="26" t="str">
        <f>+'Rainfall Data'!C707</f>
        <v>nd</v>
      </c>
      <c r="C708" s="26">
        <f t="shared" si="60"/>
        <v>13.6</v>
      </c>
      <c r="D708" s="25">
        <f t="shared" si="61"/>
        <v>2016003</v>
      </c>
    </row>
    <row r="709" spans="1:4" x14ac:dyDescent="0.25">
      <c r="A709" s="12">
        <f>+'Rainfall Data'!B708</f>
        <v>42448</v>
      </c>
      <c r="B709" s="26" t="str">
        <f>+'Rainfall Data'!C708</f>
        <v>nd</v>
      </c>
      <c r="C709" s="26">
        <f t="shared" si="60"/>
        <v>13.6</v>
      </c>
      <c r="D709" s="25">
        <f t="shared" si="61"/>
        <v>2016003</v>
      </c>
    </row>
    <row r="710" spans="1:4" x14ac:dyDescent="0.25">
      <c r="A710" s="12">
        <f>+'Rainfall Data'!B709</f>
        <v>42449</v>
      </c>
      <c r="B710" s="26" t="str">
        <f>+'Rainfall Data'!C709</f>
        <v>nd</v>
      </c>
      <c r="C710" s="26">
        <f t="shared" si="60"/>
        <v>13.6</v>
      </c>
      <c r="D710" s="25">
        <f t="shared" si="61"/>
        <v>2016003</v>
      </c>
    </row>
    <row r="711" spans="1:4" x14ac:dyDescent="0.25">
      <c r="A711" s="12">
        <f>+'Rainfall Data'!B710</f>
        <v>42450</v>
      </c>
      <c r="B711" s="26" t="str">
        <f>+'Rainfall Data'!C710</f>
        <v>nd</v>
      </c>
      <c r="C711" s="26">
        <f t="shared" si="60"/>
        <v>13.6</v>
      </c>
      <c r="D711" s="25">
        <f t="shared" si="61"/>
        <v>2016003</v>
      </c>
    </row>
    <row r="712" spans="1:4" x14ac:dyDescent="0.25">
      <c r="A712" s="12">
        <f>+'Rainfall Data'!B711</f>
        <v>42451</v>
      </c>
      <c r="B712" s="26" t="str">
        <f>+'Rainfall Data'!C711</f>
        <v>nd</v>
      </c>
      <c r="C712" s="26">
        <f t="shared" si="60"/>
        <v>13.6</v>
      </c>
      <c r="D712" s="25">
        <f t="shared" si="61"/>
        <v>2016003</v>
      </c>
    </row>
    <row r="713" spans="1:4" x14ac:dyDescent="0.25">
      <c r="A713" s="12">
        <f>+'Rainfall Data'!B712</f>
        <v>42452</v>
      </c>
      <c r="B713" s="26" t="str">
        <f>+'Rainfall Data'!C712</f>
        <v>nd</v>
      </c>
      <c r="C713" s="26">
        <f t="shared" si="60"/>
        <v>13.6</v>
      </c>
      <c r="D713" s="25">
        <f t="shared" si="61"/>
        <v>2016003</v>
      </c>
    </row>
    <row r="714" spans="1:4" x14ac:dyDescent="0.25">
      <c r="A714" s="12">
        <f>+'Rainfall Data'!B713</f>
        <v>42453</v>
      </c>
      <c r="B714" s="26" t="str">
        <f>+'Rainfall Data'!C713</f>
        <v>nd</v>
      </c>
      <c r="C714" s="26">
        <f t="shared" si="60"/>
        <v>13.6</v>
      </c>
      <c r="D714" s="25">
        <f t="shared" si="61"/>
        <v>2016003</v>
      </c>
    </row>
    <row r="715" spans="1:4" x14ac:dyDescent="0.25">
      <c r="A715" s="12">
        <f>+'Rainfall Data'!B714</f>
        <v>42454</v>
      </c>
      <c r="B715" s="26" t="str">
        <f>+'Rainfall Data'!C714</f>
        <v>nd</v>
      </c>
      <c r="C715" s="26">
        <f t="shared" si="60"/>
        <v>13.6</v>
      </c>
      <c r="D715" s="25">
        <f t="shared" si="61"/>
        <v>2016003</v>
      </c>
    </row>
    <row r="716" spans="1:4" x14ac:dyDescent="0.25">
      <c r="A716" s="12">
        <f>+'Rainfall Data'!B715</f>
        <v>42455</v>
      </c>
      <c r="B716" s="26" t="str">
        <f>+'Rainfall Data'!C715</f>
        <v>nd</v>
      </c>
      <c r="C716" s="26">
        <f t="shared" si="60"/>
        <v>13.6</v>
      </c>
      <c r="D716" s="25">
        <f t="shared" si="61"/>
        <v>2016003</v>
      </c>
    </row>
    <row r="717" spans="1:4" x14ac:dyDescent="0.25">
      <c r="A717" s="12">
        <f>+'Rainfall Data'!B716</f>
        <v>42456</v>
      </c>
      <c r="B717" s="26" t="str">
        <f>+'Rainfall Data'!C716</f>
        <v>nd</v>
      </c>
      <c r="C717" s="26">
        <f t="shared" si="60"/>
        <v>13.6</v>
      </c>
      <c r="D717" s="25">
        <f t="shared" si="61"/>
        <v>2016003</v>
      </c>
    </row>
    <row r="718" spans="1:4" x14ac:dyDescent="0.25">
      <c r="A718" s="12">
        <f>+'Rainfall Data'!B717</f>
        <v>42457</v>
      </c>
      <c r="B718" s="26" t="str">
        <f>+'Rainfall Data'!C717</f>
        <v>nd</v>
      </c>
      <c r="C718" s="26">
        <f t="shared" si="60"/>
        <v>13.6</v>
      </c>
      <c r="D718" s="25">
        <f t="shared" si="61"/>
        <v>2016003</v>
      </c>
    </row>
    <row r="719" spans="1:4" x14ac:dyDescent="0.25">
      <c r="A719" s="12">
        <f>+'Rainfall Data'!B718</f>
        <v>42458</v>
      </c>
      <c r="B719" s="26" t="str">
        <f>+'Rainfall Data'!C718</f>
        <v>nd</v>
      </c>
      <c r="C719" s="26">
        <f t="shared" si="60"/>
        <v>13.6</v>
      </c>
      <c r="D719" s="25">
        <f t="shared" si="61"/>
        <v>2016003</v>
      </c>
    </row>
    <row r="720" spans="1:4" x14ac:dyDescent="0.25">
      <c r="A720" s="12">
        <f>+'Rainfall Data'!B719</f>
        <v>42459</v>
      </c>
      <c r="B720" s="26" t="str">
        <f>+'Rainfall Data'!C719</f>
        <v>nd</v>
      </c>
      <c r="C720" s="26">
        <f t="shared" si="60"/>
        <v>13.6</v>
      </c>
      <c r="D720" s="25">
        <f t="shared" si="61"/>
        <v>2016003</v>
      </c>
    </row>
    <row r="721" spans="1:4" x14ac:dyDescent="0.25">
      <c r="A721" s="12">
        <f>+'Rainfall Data'!B720</f>
        <v>42460</v>
      </c>
      <c r="B721" s="26" t="str">
        <f>+'Rainfall Data'!C720</f>
        <v>nd</v>
      </c>
      <c r="C721" s="26">
        <f t="shared" si="60"/>
        <v>13.6</v>
      </c>
      <c r="D721" s="25">
        <f t="shared" si="61"/>
        <v>2016003</v>
      </c>
    </row>
    <row r="722" spans="1:4" x14ac:dyDescent="0.25">
      <c r="A722" s="12">
        <f>+'Rainfall Data'!B721</f>
        <v>42461</v>
      </c>
      <c r="B722" s="26" t="str">
        <f>+'Rainfall Data'!C721</f>
        <v>nd</v>
      </c>
      <c r="C722" s="26">
        <f t="shared" si="60"/>
        <v>13.6</v>
      </c>
      <c r="D722" s="25">
        <f t="shared" si="61"/>
        <v>2016004</v>
      </c>
    </row>
    <row r="723" spans="1:4" x14ac:dyDescent="0.25">
      <c r="A723" s="12">
        <f>+'Rainfall Data'!B722</f>
        <v>42462</v>
      </c>
      <c r="B723" s="26" t="str">
        <f>+'Rainfall Data'!C722</f>
        <v>nd</v>
      </c>
      <c r="C723" s="26">
        <f t="shared" si="60"/>
        <v>13.6</v>
      </c>
      <c r="D723" s="25">
        <f t="shared" si="61"/>
        <v>2016004</v>
      </c>
    </row>
    <row r="724" spans="1:4" x14ac:dyDescent="0.25">
      <c r="A724" s="12">
        <f>+'Rainfall Data'!B723</f>
        <v>42463</v>
      </c>
      <c r="B724" s="26" t="str">
        <f>+'Rainfall Data'!C723</f>
        <v>nd</v>
      </c>
      <c r="C724" s="26">
        <f t="shared" si="60"/>
        <v>13.6</v>
      </c>
      <c r="D724" s="25">
        <f t="shared" si="61"/>
        <v>2016004</v>
      </c>
    </row>
    <row r="725" spans="1:4" x14ac:dyDescent="0.25">
      <c r="A725" s="12">
        <f>+'Rainfall Data'!B724</f>
        <v>42464</v>
      </c>
      <c r="B725" s="26" t="str">
        <f>+'Rainfall Data'!C724</f>
        <v>nd</v>
      </c>
      <c r="C725" s="26">
        <f t="shared" ref="C725:C788" si="62">IF(B725="nd",0, IF(B725="T",0,B725))+C724</f>
        <v>13.6</v>
      </c>
      <c r="D725" s="25">
        <f t="shared" ref="D725:D788" si="63">+YEAR(A725)*1000+MONTH(A725)</f>
        <v>2016004</v>
      </c>
    </row>
    <row r="726" spans="1:4" x14ac:dyDescent="0.25">
      <c r="A726" s="12">
        <f>+'Rainfall Data'!B725</f>
        <v>42465</v>
      </c>
      <c r="B726" s="26" t="str">
        <f>+'Rainfall Data'!C725</f>
        <v>nd</v>
      </c>
      <c r="C726" s="26">
        <f t="shared" si="62"/>
        <v>13.6</v>
      </c>
      <c r="D726" s="25">
        <f t="shared" si="63"/>
        <v>2016004</v>
      </c>
    </row>
    <row r="727" spans="1:4" x14ac:dyDescent="0.25">
      <c r="A727" s="12">
        <f>+'Rainfall Data'!B726</f>
        <v>42466</v>
      </c>
      <c r="B727" s="26" t="str">
        <f>+'Rainfall Data'!C726</f>
        <v>nd</v>
      </c>
      <c r="C727" s="26">
        <f t="shared" si="62"/>
        <v>13.6</v>
      </c>
      <c r="D727" s="25">
        <f t="shared" si="63"/>
        <v>2016004</v>
      </c>
    </row>
    <row r="728" spans="1:4" x14ac:dyDescent="0.25">
      <c r="A728" s="12">
        <f>+'Rainfall Data'!B727</f>
        <v>42467</v>
      </c>
      <c r="B728" s="26" t="str">
        <f>+'Rainfall Data'!C727</f>
        <v>nd</v>
      </c>
      <c r="C728" s="26">
        <f t="shared" si="62"/>
        <v>13.6</v>
      </c>
      <c r="D728" s="25">
        <f t="shared" si="63"/>
        <v>2016004</v>
      </c>
    </row>
    <row r="729" spans="1:4" x14ac:dyDescent="0.25">
      <c r="A729" s="12">
        <f>+'Rainfall Data'!B728</f>
        <v>42468</v>
      </c>
      <c r="B729" s="26" t="str">
        <f>+'Rainfall Data'!C728</f>
        <v>nd</v>
      </c>
      <c r="C729" s="26">
        <f t="shared" si="62"/>
        <v>13.6</v>
      </c>
      <c r="D729" s="25">
        <f t="shared" si="63"/>
        <v>2016004</v>
      </c>
    </row>
    <row r="730" spans="1:4" x14ac:dyDescent="0.25">
      <c r="A730" s="12">
        <f>+'Rainfall Data'!B729</f>
        <v>42469</v>
      </c>
      <c r="B730" s="26" t="str">
        <f>+'Rainfall Data'!C729</f>
        <v>nd</v>
      </c>
      <c r="C730" s="26">
        <f t="shared" si="62"/>
        <v>13.6</v>
      </c>
      <c r="D730" s="25">
        <f t="shared" si="63"/>
        <v>2016004</v>
      </c>
    </row>
    <row r="731" spans="1:4" x14ac:dyDescent="0.25">
      <c r="A731" s="12">
        <f>+'Rainfall Data'!B730</f>
        <v>42470</v>
      </c>
      <c r="B731" s="26" t="str">
        <f>+'Rainfall Data'!C730</f>
        <v>nd</v>
      </c>
      <c r="C731" s="26">
        <f t="shared" si="62"/>
        <v>13.6</v>
      </c>
      <c r="D731" s="25">
        <f t="shared" si="63"/>
        <v>2016004</v>
      </c>
    </row>
    <row r="732" spans="1:4" x14ac:dyDescent="0.25">
      <c r="A732" s="12">
        <f>+'Rainfall Data'!B731</f>
        <v>42471</v>
      </c>
      <c r="B732" s="26" t="str">
        <f>+'Rainfall Data'!C731</f>
        <v>nd</v>
      </c>
      <c r="C732" s="26">
        <f t="shared" si="62"/>
        <v>13.6</v>
      </c>
      <c r="D732" s="25">
        <f t="shared" si="63"/>
        <v>2016004</v>
      </c>
    </row>
    <row r="733" spans="1:4" x14ac:dyDescent="0.25">
      <c r="A733" s="12">
        <f>+'Rainfall Data'!B732</f>
        <v>42472</v>
      </c>
      <c r="B733" s="26" t="str">
        <f>+'Rainfall Data'!C732</f>
        <v>nd</v>
      </c>
      <c r="C733" s="26">
        <f t="shared" si="62"/>
        <v>13.6</v>
      </c>
      <c r="D733" s="25">
        <f t="shared" si="63"/>
        <v>2016004</v>
      </c>
    </row>
    <row r="734" spans="1:4" x14ac:dyDescent="0.25">
      <c r="A734" s="12">
        <f>+'Rainfall Data'!B733</f>
        <v>42473</v>
      </c>
      <c r="B734" s="26" t="str">
        <f>+'Rainfall Data'!C733</f>
        <v>nd</v>
      </c>
      <c r="C734" s="26">
        <f t="shared" si="62"/>
        <v>13.6</v>
      </c>
      <c r="D734" s="25">
        <f t="shared" si="63"/>
        <v>2016004</v>
      </c>
    </row>
    <row r="735" spans="1:4" x14ac:dyDescent="0.25">
      <c r="A735" s="12">
        <f>+'Rainfall Data'!B734</f>
        <v>42474</v>
      </c>
      <c r="B735" s="26" t="str">
        <f>+'Rainfall Data'!C734</f>
        <v>nd</v>
      </c>
      <c r="C735" s="26">
        <f t="shared" si="62"/>
        <v>13.6</v>
      </c>
      <c r="D735" s="25">
        <f t="shared" si="63"/>
        <v>2016004</v>
      </c>
    </row>
    <row r="736" spans="1:4" x14ac:dyDescent="0.25">
      <c r="A736" s="12">
        <f>+'Rainfall Data'!B735</f>
        <v>42475</v>
      </c>
      <c r="B736" s="26" t="str">
        <f>+'Rainfall Data'!C735</f>
        <v>nd</v>
      </c>
      <c r="C736" s="26">
        <f t="shared" si="62"/>
        <v>13.6</v>
      </c>
      <c r="D736" s="25">
        <f t="shared" si="63"/>
        <v>2016004</v>
      </c>
    </row>
    <row r="737" spans="1:4" x14ac:dyDescent="0.25">
      <c r="A737" s="12">
        <f>+'Rainfall Data'!B736</f>
        <v>42476</v>
      </c>
      <c r="B737" s="26" t="str">
        <f>+'Rainfall Data'!C736</f>
        <v>nd</v>
      </c>
      <c r="C737" s="26">
        <f t="shared" si="62"/>
        <v>13.6</v>
      </c>
      <c r="D737" s="25">
        <f t="shared" si="63"/>
        <v>2016004</v>
      </c>
    </row>
    <row r="738" spans="1:4" x14ac:dyDescent="0.25">
      <c r="A738" s="12">
        <f>+'Rainfall Data'!B737</f>
        <v>42477</v>
      </c>
      <c r="B738" s="26" t="str">
        <f>+'Rainfall Data'!C737</f>
        <v>nd</v>
      </c>
      <c r="C738" s="26">
        <f t="shared" si="62"/>
        <v>13.6</v>
      </c>
      <c r="D738" s="25">
        <f t="shared" si="63"/>
        <v>2016004</v>
      </c>
    </row>
    <row r="739" spans="1:4" x14ac:dyDescent="0.25">
      <c r="A739" s="12">
        <f>+'Rainfall Data'!B738</f>
        <v>42478</v>
      </c>
      <c r="B739" s="26" t="str">
        <f>+'Rainfall Data'!C738</f>
        <v>nd</v>
      </c>
      <c r="C739" s="26">
        <f t="shared" si="62"/>
        <v>13.6</v>
      </c>
      <c r="D739" s="25">
        <f t="shared" si="63"/>
        <v>2016004</v>
      </c>
    </row>
    <row r="740" spans="1:4" x14ac:dyDescent="0.25">
      <c r="A740" s="12">
        <f>+'Rainfall Data'!B739</f>
        <v>42479</v>
      </c>
      <c r="B740" s="26" t="str">
        <f>+'Rainfall Data'!C739</f>
        <v>nd</v>
      </c>
      <c r="C740" s="26">
        <f t="shared" si="62"/>
        <v>13.6</v>
      </c>
      <c r="D740" s="25">
        <f t="shared" si="63"/>
        <v>2016004</v>
      </c>
    </row>
    <row r="741" spans="1:4" x14ac:dyDescent="0.25">
      <c r="A741" s="12">
        <f>+'Rainfall Data'!B740</f>
        <v>42480</v>
      </c>
      <c r="B741" s="26" t="str">
        <f>+'Rainfall Data'!C740</f>
        <v>nd</v>
      </c>
      <c r="C741" s="26">
        <f t="shared" si="62"/>
        <v>13.6</v>
      </c>
      <c r="D741" s="25">
        <f t="shared" si="63"/>
        <v>2016004</v>
      </c>
    </row>
    <row r="742" spans="1:4" x14ac:dyDescent="0.25">
      <c r="A742" s="12">
        <f>+'Rainfall Data'!B741</f>
        <v>42481</v>
      </c>
      <c r="B742" s="26" t="str">
        <f>+'Rainfall Data'!C741</f>
        <v>nd</v>
      </c>
      <c r="C742" s="26">
        <f t="shared" si="62"/>
        <v>13.6</v>
      </c>
      <c r="D742" s="25">
        <f t="shared" si="63"/>
        <v>2016004</v>
      </c>
    </row>
    <row r="743" spans="1:4" x14ac:dyDescent="0.25">
      <c r="A743" s="12">
        <f>+'Rainfall Data'!B742</f>
        <v>42482</v>
      </c>
      <c r="B743" s="26" t="str">
        <f>+'Rainfall Data'!C742</f>
        <v>nd</v>
      </c>
      <c r="C743" s="26">
        <f t="shared" si="62"/>
        <v>13.6</v>
      </c>
      <c r="D743" s="25">
        <f t="shared" si="63"/>
        <v>2016004</v>
      </c>
    </row>
    <row r="744" spans="1:4" x14ac:dyDescent="0.25">
      <c r="A744" s="12">
        <f>+'Rainfall Data'!B743</f>
        <v>42483</v>
      </c>
      <c r="B744" s="26" t="str">
        <f>+'Rainfall Data'!C743</f>
        <v>nd</v>
      </c>
      <c r="C744" s="26">
        <f t="shared" si="62"/>
        <v>13.6</v>
      </c>
      <c r="D744" s="25">
        <f t="shared" si="63"/>
        <v>2016004</v>
      </c>
    </row>
    <row r="745" spans="1:4" x14ac:dyDescent="0.25">
      <c r="A745" s="12">
        <f>+'Rainfall Data'!B744</f>
        <v>42484</v>
      </c>
      <c r="B745" s="26" t="str">
        <f>+'Rainfall Data'!C744</f>
        <v>nd</v>
      </c>
      <c r="C745" s="26">
        <f t="shared" si="62"/>
        <v>13.6</v>
      </c>
      <c r="D745" s="25">
        <f t="shared" si="63"/>
        <v>2016004</v>
      </c>
    </row>
    <row r="746" spans="1:4" x14ac:dyDescent="0.25">
      <c r="A746" s="12">
        <f>+'Rainfall Data'!B745</f>
        <v>42485</v>
      </c>
      <c r="B746" s="26" t="str">
        <f>+'Rainfall Data'!C745</f>
        <v>nd</v>
      </c>
      <c r="C746" s="26">
        <f t="shared" si="62"/>
        <v>13.6</v>
      </c>
      <c r="D746" s="25">
        <f t="shared" si="63"/>
        <v>2016004</v>
      </c>
    </row>
    <row r="747" spans="1:4" x14ac:dyDescent="0.25">
      <c r="A747" s="12">
        <f>+'Rainfall Data'!B746</f>
        <v>42486</v>
      </c>
      <c r="B747" s="26" t="str">
        <f>+'Rainfall Data'!C746</f>
        <v>nd</v>
      </c>
      <c r="C747" s="26">
        <f t="shared" si="62"/>
        <v>13.6</v>
      </c>
      <c r="D747" s="25">
        <f t="shared" si="63"/>
        <v>2016004</v>
      </c>
    </row>
    <row r="748" spans="1:4" x14ac:dyDescent="0.25">
      <c r="A748" s="12">
        <f>+'Rainfall Data'!B747</f>
        <v>42487</v>
      </c>
      <c r="B748" s="26" t="str">
        <f>+'Rainfall Data'!C747</f>
        <v>nd</v>
      </c>
      <c r="C748" s="26">
        <f t="shared" si="62"/>
        <v>13.6</v>
      </c>
      <c r="D748" s="25">
        <f t="shared" si="63"/>
        <v>2016004</v>
      </c>
    </row>
    <row r="749" spans="1:4" x14ac:dyDescent="0.25">
      <c r="A749" s="12">
        <f>+'Rainfall Data'!B748</f>
        <v>42488</v>
      </c>
      <c r="B749" s="26" t="str">
        <f>+'Rainfall Data'!C748</f>
        <v>nd</v>
      </c>
      <c r="C749" s="26">
        <f t="shared" si="62"/>
        <v>13.6</v>
      </c>
      <c r="D749" s="25">
        <f t="shared" si="63"/>
        <v>2016004</v>
      </c>
    </row>
    <row r="750" spans="1:4" x14ac:dyDescent="0.25">
      <c r="A750" s="12">
        <f>+'Rainfall Data'!B749</f>
        <v>42489</v>
      </c>
      <c r="B750" s="26" t="str">
        <f>+'Rainfall Data'!C749</f>
        <v>nd</v>
      </c>
      <c r="C750" s="26">
        <f t="shared" si="62"/>
        <v>13.6</v>
      </c>
      <c r="D750" s="25">
        <f t="shared" si="63"/>
        <v>2016004</v>
      </c>
    </row>
    <row r="751" spans="1:4" x14ac:dyDescent="0.25">
      <c r="A751" s="12">
        <f>+'Rainfall Data'!B750</f>
        <v>42490</v>
      </c>
      <c r="B751" s="26" t="str">
        <f>+'Rainfall Data'!C750</f>
        <v>nd</v>
      </c>
      <c r="C751" s="26">
        <f t="shared" si="62"/>
        <v>13.6</v>
      </c>
      <c r="D751" s="25">
        <f t="shared" si="63"/>
        <v>2016004</v>
      </c>
    </row>
    <row r="752" spans="1:4" x14ac:dyDescent="0.25">
      <c r="A752" s="12">
        <f>+'Rainfall Data'!B751</f>
        <v>42491</v>
      </c>
      <c r="B752" s="26" t="str">
        <f>+'Rainfall Data'!C751</f>
        <v>nd</v>
      </c>
      <c r="C752" s="26">
        <f t="shared" si="62"/>
        <v>13.6</v>
      </c>
      <c r="D752" s="25">
        <f t="shared" si="63"/>
        <v>2016005</v>
      </c>
    </row>
    <row r="753" spans="1:4" x14ac:dyDescent="0.25">
      <c r="A753" s="12">
        <f>+'Rainfall Data'!B752</f>
        <v>42492</v>
      </c>
      <c r="B753" s="26" t="str">
        <f>+'Rainfall Data'!C752</f>
        <v>nd</v>
      </c>
      <c r="C753" s="26">
        <f t="shared" si="62"/>
        <v>13.6</v>
      </c>
      <c r="D753" s="25">
        <f t="shared" si="63"/>
        <v>2016005</v>
      </c>
    </row>
    <row r="754" spans="1:4" x14ac:dyDescent="0.25">
      <c r="A754" s="12">
        <f>+'Rainfall Data'!B753</f>
        <v>42493</v>
      </c>
      <c r="B754" s="26" t="str">
        <f>+'Rainfall Data'!C753</f>
        <v>nd</v>
      </c>
      <c r="C754" s="26">
        <f t="shared" si="62"/>
        <v>13.6</v>
      </c>
      <c r="D754" s="25">
        <f t="shared" si="63"/>
        <v>2016005</v>
      </c>
    </row>
    <row r="755" spans="1:4" x14ac:dyDescent="0.25">
      <c r="A755" s="12">
        <f>+'Rainfall Data'!B754</f>
        <v>42494</v>
      </c>
      <c r="B755" s="26" t="str">
        <f>+'Rainfall Data'!C754</f>
        <v>nd</v>
      </c>
      <c r="C755" s="26">
        <f t="shared" si="62"/>
        <v>13.6</v>
      </c>
      <c r="D755" s="25">
        <f t="shared" si="63"/>
        <v>2016005</v>
      </c>
    </row>
    <row r="756" spans="1:4" x14ac:dyDescent="0.25">
      <c r="A756" s="12">
        <f>+'Rainfall Data'!B755</f>
        <v>42495</v>
      </c>
      <c r="B756" s="26" t="str">
        <f>+'Rainfall Data'!C755</f>
        <v>nd</v>
      </c>
      <c r="C756" s="26">
        <f t="shared" si="62"/>
        <v>13.6</v>
      </c>
      <c r="D756" s="25">
        <f t="shared" si="63"/>
        <v>2016005</v>
      </c>
    </row>
    <row r="757" spans="1:4" x14ac:dyDescent="0.25">
      <c r="A757" s="12">
        <f>+'Rainfall Data'!B756</f>
        <v>42496</v>
      </c>
      <c r="B757" s="26" t="str">
        <f>+'Rainfall Data'!C756</f>
        <v>nd</v>
      </c>
      <c r="C757" s="26">
        <f t="shared" si="62"/>
        <v>13.6</v>
      </c>
      <c r="D757" s="25">
        <f t="shared" si="63"/>
        <v>2016005</v>
      </c>
    </row>
    <row r="758" spans="1:4" x14ac:dyDescent="0.25">
      <c r="A758" s="12">
        <f>+'Rainfall Data'!B757</f>
        <v>42497</v>
      </c>
      <c r="B758" s="26" t="str">
        <f>+'Rainfall Data'!C757</f>
        <v>nd</v>
      </c>
      <c r="C758" s="26">
        <f t="shared" si="62"/>
        <v>13.6</v>
      </c>
      <c r="D758" s="25">
        <f t="shared" si="63"/>
        <v>2016005</v>
      </c>
    </row>
    <row r="759" spans="1:4" x14ac:dyDescent="0.25">
      <c r="A759" s="12">
        <f>+'Rainfall Data'!B758</f>
        <v>42498</v>
      </c>
      <c r="B759" s="26" t="str">
        <f>+'Rainfall Data'!C758</f>
        <v>nd</v>
      </c>
      <c r="C759" s="26">
        <f t="shared" si="62"/>
        <v>13.6</v>
      </c>
      <c r="D759" s="25">
        <f t="shared" si="63"/>
        <v>2016005</v>
      </c>
    </row>
    <row r="760" spans="1:4" x14ac:dyDescent="0.25">
      <c r="A760" s="12">
        <f>+'Rainfall Data'!B759</f>
        <v>42499</v>
      </c>
      <c r="B760" s="26" t="str">
        <f>+'Rainfall Data'!C759</f>
        <v>nd</v>
      </c>
      <c r="C760" s="26">
        <f t="shared" si="62"/>
        <v>13.6</v>
      </c>
      <c r="D760" s="25">
        <f t="shared" si="63"/>
        <v>2016005</v>
      </c>
    </row>
    <row r="761" spans="1:4" x14ac:dyDescent="0.25">
      <c r="A761" s="12">
        <f>+'Rainfall Data'!B760</f>
        <v>42500</v>
      </c>
      <c r="B761" s="26" t="str">
        <f>+'Rainfall Data'!C760</f>
        <v>nd</v>
      </c>
      <c r="C761" s="26">
        <f t="shared" si="62"/>
        <v>13.6</v>
      </c>
      <c r="D761" s="25">
        <f t="shared" si="63"/>
        <v>2016005</v>
      </c>
    </row>
    <row r="762" spans="1:4" x14ac:dyDescent="0.25">
      <c r="A762" s="12">
        <f>+'Rainfall Data'!B761</f>
        <v>42501</v>
      </c>
      <c r="B762" s="26" t="str">
        <f>+'Rainfall Data'!C761</f>
        <v>nd</v>
      </c>
      <c r="C762" s="26">
        <f t="shared" si="62"/>
        <v>13.6</v>
      </c>
      <c r="D762" s="25">
        <f t="shared" si="63"/>
        <v>2016005</v>
      </c>
    </row>
    <row r="763" spans="1:4" x14ac:dyDescent="0.25">
      <c r="A763" s="12">
        <f>+'Rainfall Data'!B762</f>
        <v>42502</v>
      </c>
      <c r="B763" s="26" t="str">
        <f>+'Rainfall Data'!C762</f>
        <v>nd</v>
      </c>
      <c r="C763" s="26">
        <f t="shared" si="62"/>
        <v>13.6</v>
      </c>
      <c r="D763" s="25">
        <f t="shared" si="63"/>
        <v>2016005</v>
      </c>
    </row>
    <row r="764" spans="1:4" x14ac:dyDescent="0.25">
      <c r="A764" s="12">
        <f>+'Rainfall Data'!B763</f>
        <v>42503</v>
      </c>
      <c r="B764" s="26" t="str">
        <f>+'Rainfall Data'!C763</f>
        <v>nd</v>
      </c>
      <c r="C764" s="26">
        <f t="shared" si="62"/>
        <v>13.6</v>
      </c>
      <c r="D764" s="25">
        <f t="shared" si="63"/>
        <v>2016005</v>
      </c>
    </row>
    <row r="765" spans="1:4" x14ac:dyDescent="0.25">
      <c r="A765" s="12">
        <f>+'Rainfall Data'!B764</f>
        <v>42504</v>
      </c>
      <c r="B765" s="26" t="str">
        <f>+'Rainfall Data'!C764</f>
        <v>nd</v>
      </c>
      <c r="C765" s="26">
        <f t="shared" si="62"/>
        <v>13.6</v>
      </c>
      <c r="D765" s="25">
        <f t="shared" si="63"/>
        <v>2016005</v>
      </c>
    </row>
    <row r="766" spans="1:4" x14ac:dyDescent="0.25">
      <c r="A766" s="12">
        <f>+'Rainfall Data'!B765</f>
        <v>42505</v>
      </c>
      <c r="B766" s="26" t="str">
        <f>+'Rainfall Data'!C765</f>
        <v>nd</v>
      </c>
      <c r="C766" s="26">
        <f t="shared" si="62"/>
        <v>13.6</v>
      </c>
      <c r="D766" s="25">
        <f t="shared" si="63"/>
        <v>2016005</v>
      </c>
    </row>
    <row r="767" spans="1:4" x14ac:dyDescent="0.25">
      <c r="A767" s="12">
        <f>+'Rainfall Data'!B766</f>
        <v>42506</v>
      </c>
      <c r="B767" s="26" t="str">
        <f>+'Rainfall Data'!C766</f>
        <v>nd</v>
      </c>
      <c r="C767" s="26">
        <f t="shared" si="62"/>
        <v>13.6</v>
      </c>
      <c r="D767" s="25">
        <f t="shared" si="63"/>
        <v>2016005</v>
      </c>
    </row>
    <row r="768" spans="1:4" x14ac:dyDescent="0.25">
      <c r="A768" s="12">
        <f>+'Rainfall Data'!B767</f>
        <v>42507</v>
      </c>
      <c r="B768" s="26" t="str">
        <f>+'Rainfall Data'!C767</f>
        <v>nd</v>
      </c>
      <c r="C768" s="26">
        <f t="shared" si="62"/>
        <v>13.6</v>
      </c>
      <c r="D768" s="25">
        <f t="shared" si="63"/>
        <v>2016005</v>
      </c>
    </row>
    <row r="769" spans="1:4" x14ac:dyDescent="0.25">
      <c r="A769" s="12">
        <f>+'Rainfall Data'!B768</f>
        <v>42508</v>
      </c>
      <c r="B769" s="26" t="str">
        <f>+'Rainfall Data'!C768</f>
        <v>nd</v>
      </c>
      <c r="C769" s="26">
        <f t="shared" si="62"/>
        <v>13.6</v>
      </c>
      <c r="D769" s="25">
        <f t="shared" si="63"/>
        <v>2016005</v>
      </c>
    </row>
    <row r="770" spans="1:4" x14ac:dyDescent="0.25">
      <c r="A770" s="12">
        <f>+'Rainfall Data'!B769</f>
        <v>42509</v>
      </c>
      <c r="B770" s="26" t="str">
        <f>+'Rainfall Data'!C769</f>
        <v>nd</v>
      </c>
      <c r="C770" s="26">
        <f t="shared" si="62"/>
        <v>13.6</v>
      </c>
      <c r="D770" s="25">
        <f t="shared" si="63"/>
        <v>2016005</v>
      </c>
    </row>
    <row r="771" spans="1:4" x14ac:dyDescent="0.25">
      <c r="A771" s="12">
        <f>+'Rainfall Data'!B770</f>
        <v>42510</v>
      </c>
      <c r="B771" s="26" t="str">
        <f>+'Rainfall Data'!C770</f>
        <v>nd</v>
      </c>
      <c r="C771" s="26">
        <f t="shared" si="62"/>
        <v>13.6</v>
      </c>
      <c r="D771" s="25">
        <f t="shared" si="63"/>
        <v>2016005</v>
      </c>
    </row>
    <row r="772" spans="1:4" x14ac:dyDescent="0.25">
      <c r="A772" s="12">
        <f>+'Rainfall Data'!B771</f>
        <v>42511</v>
      </c>
      <c r="B772" s="26" t="str">
        <f>+'Rainfall Data'!C771</f>
        <v>nd</v>
      </c>
      <c r="C772" s="26">
        <f t="shared" si="62"/>
        <v>13.6</v>
      </c>
      <c r="D772" s="25">
        <f t="shared" si="63"/>
        <v>2016005</v>
      </c>
    </row>
    <row r="773" spans="1:4" x14ac:dyDescent="0.25">
      <c r="A773" s="12">
        <f>+'Rainfall Data'!B772</f>
        <v>42512</v>
      </c>
      <c r="B773" s="26" t="str">
        <f>+'Rainfall Data'!C772</f>
        <v>nd</v>
      </c>
      <c r="C773" s="26">
        <f t="shared" si="62"/>
        <v>13.6</v>
      </c>
      <c r="D773" s="25">
        <f t="shared" si="63"/>
        <v>2016005</v>
      </c>
    </row>
    <row r="774" spans="1:4" x14ac:dyDescent="0.25">
      <c r="A774" s="12">
        <f>+'Rainfall Data'!B773</f>
        <v>42513</v>
      </c>
      <c r="B774" s="26" t="str">
        <f>+'Rainfall Data'!C773</f>
        <v>nd</v>
      </c>
      <c r="C774" s="26">
        <f t="shared" si="62"/>
        <v>13.6</v>
      </c>
      <c r="D774" s="25">
        <f t="shared" si="63"/>
        <v>2016005</v>
      </c>
    </row>
    <row r="775" spans="1:4" x14ac:dyDescent="0.25">
      <c r="A775" s="12">
        <f>+'Rainfall Data'!B774</f>
        <v>42514</v>
      </c>
      <c r="B775" s="26" t="str">
        <f>+'Rainfall Data'!C774</f>
        <v>nd</v>
      </c>
      <c r="C775" s="26">
        <f t="shared" si="62"/>
        <v>13.6</v>
      </c>
      <c r="D775" s="25">
        <f t="shared" si="63"/>
        <v>2016005</v>
      </c>
    </row>
    <row r="776" spans="1:4" x14ac:dyDescent="0.25">
      <c r="A776" s="12">
        <f>+'Rainfall Data'!B775</f>
        <v>42515</v>
      </c>
      <c r="B776" s="26" t="str">
        <f>+'Rainfall Data'!C775</f>
        <v>nd</v>
      </c>
      <c r="C776" s="26">
        <f t="shared" si="62"/>
        <v>13.6</v>
      </c>
      <c r="D776" s="25">
        <f t="shared" si="63"/>
        <v>2016005</v>
      </c>
    </row>
    <row r="777" spans="1:4" x14ac:dyDescent="0.25">
      <c r="A777" s="12">
        <f>+'Rainfall Data'!B776</f>
        <v>42516</v>
      </c>
      <c r="B777" s="26" t="str">
        <f>+'Rainfall Data'!C776</f>
        <v>nd</v>
      </c>
      <c r="C777" s="26">
        <f t="shared" si="62"/>
        <v>13.6</v>
      </c>
      <c r="D777" s="25">
        <f t="shared" si="63"/>
        <v>2016005</v>
      </c>
    </row>
    <row r="778" spans="1:4" x14ac:dyDescent="0.25">
      <c r="A778" s="12">
        <f>+'Rainfall Data'!B777</f>
        <v>42517</v>
      </c>
      <c r="B778" s="26" t="str">
        <f>+'Rainfall Data'!C777</f>
        <v>nd</v>
      </c>
      <c r="C778" s="26">
        <f t="shared" si="62"/>
        <v>13.6</v>
      </c>
      <c r="D778" s="25">
        <f t="shared" si="63"/>
        <v>2016005</v>
      </c>
    </row>
    <row r="779" spans="1:4" x14ac:dyDescent="0.25">
      <c r="A779" s="12">
        <f>+'Rainfall Data'!B778</f>
        <v>42518</v>
      </c>
      <c r="B779" s="26" t="str">
        <f>+'Rainfall Data'!C778</f>
        <v>nd</v>
      </c>
      <c r="C779" s="26">
        <f t="shared" si="62"/>
        <v>13.6</v>
      </c>
      <c r="D779" s="25">
        <f t="shared" si="63"/>
        <v>2016005</v>
      </c>
    </row>
    <row r="780" spans="1:4" x14ac:dyDescent="0.25">
      <c r="A780" s="12">
        <f>+'Rainfall Data'!B779</f>
        <v>42519</v>
      </c>
      <c r="B780" s="26" t="str">
        <f>+'Rainfall Data'!C779</f>
        <v>nd</v>
      </c>
      <c r="C780" s="26">
        <f t="shared" si="62"/>
        <v>13.6</v>
      </c>
      <c r="D780" s="25">
        <f t="shared" si="63"/>
        <v>2016005</v>
      </c>
    </row>
    <row r="781" spans="1:4" x14ac:dyDescent="0.25">
      <c r="A781" s="12">
        <f>+'Rainfall Data'!B780</f>
        <v>42520</v>
      </c>
      <c r="B781" s="26" t="str">
        <f>+'Rainfall Data'!C780</f>
        <v>nd</v>
      </c>
      <c r="C781" s="26">
        <f t="shared" si="62"/>
        <v>13.6</v>
      </c>
      <c r="D781" s="25">
        <f t="shared" si="63"/>
        <v>2016005</v>
      </c>
    </row>
    <row r="782" spans="1:4" x14ac:dyDescent="0.25">
      <c r="A782" s="12">
        <f>+'Rainfall Data'!B781</f>
        <v>42521</v>
      </c>
      <c r="B782" s="26">
        <f>+'Rainfall Data'!C781</f>
        <v>12</v>
      </c>
      <c r="C782" s="26">
        <f t="shared" si="62"/>
        <v>25.6</v>
      </c>
      <c r="D782" s="25">
        <f t="shared" si="63"/>
        <v>2016005</v>
      </c>
    </row>
    <row r="783" spans="1:4" x14ac:dyDescent="0.25">
      <c r="A783" s="12">
        <f>+'Rainfall Data'!B782</f>
        <v>42522</v>
      </c>
      <c r="B783" s="26">
        <f>+'Rainfall Data'!C782</f>
        <v>4.5</v>
      </c>
      <c r="C783" s="26">
        <f t="shared" si="62"/>
        <v>30.1</v>
      </c>
      <c r="D783" s="25">
        <f t="shared" si="63"/>
        <v>2016006</v>
      </c>
    </row>
    <row r="784" spans="1:4" x14ac:dyDescent="0.25">
      <c r="A784" s="12">
        <f>+'Rainfall Data'!B783</f>
        <v>42523</v>
      </c>
      <c r="B784" s="26" t="str">
        <f>+'Rainfall Data'!C783</f>
        <v>T</v>
      </c>
      <c r="C784" s="26">
        <f t="shared" si="62"/>
        <v>30.1</v>
      </c>
      <c r="D784" s="25">
        <f t="shared" si="63"/>
        <v>2016006</v>
      </c>
    </row>
    <row r="785" spans="1:4" x14ac:dyDescent="0.25">
      <c r="A785" s="12">
        <f>+'Rainfall Data'!B784</f>
        <v>42524</v>
      </c>
      <c r="B785" s="26" t="str">
        <f>+'Rainfall Data'!C784</f>
        <v>T</v>
      </c>
      <c r="C785" s="26">
        <f t="shared" si="62"/>
        <v>30.1</v>
      </c>
      <c r="D785" s="25">
        <f t="shared" si="63"/>
        <v>2016006</v>
      </c>
    </row>
    <row r="786" spans="1:4" x14ac:dyDescent="0.25">
      <c r="A786" s="12">
        <f>+'Rainfall Data'!B785</f>
        <v>42525</v>
      </c>
      <c r="B786" s="26" t="str">
        <f>+'Rainfall Data'!C785</f>
        <v>T</v>
      </c>
      <c r="C786" s="26">
        <f t="shared" si="62"/>
        <v>30.1</v>
      </c>
      <c r="D786" s="25">
        <f t="shared" si="63"/>
        <v>2016006</v>
      </c>
    </row>
    <row r="787" spans="1:4" x14ac:dyDescent="0.25">
      <c r="A787" s="12">
        <f>+'Rainfall Data'!B786</f>
        <v>42526</v>
      </c>
      <c r="B787" s="26">
        <f>+'Rainfall Data'!C786</f>
        <v>10.5</v>
      </c>
      <c r="C787" s="26">
        <f t="shared" si="62"/>
        <v>40.6</v>
      </c>
      <c r="D787" s="25">
        <f t="shared" si="63"/>
        <v>2016006</v>
      </c>
    </row>
    <row r="788" spans="1:4" x14ac:dyDescent="0.25">
      <c r="A788" s="12">
        <f>+'Rainfall Data'!B787</f>
        <v>42527</v>
      </c>
      <c r="B788" s="26">
        <f>+'Rainfall Data'!C787</f>
        <v>16.5</v>
      </c>
      <c r="C788" s="26">
        <f t="shared" si="62"/>
        <v>57.1</v>
      </c>
      <c r="D788" s="25">
        <f t="shared" si="63"/>
        <v>2016006</v>
      </c>
    </row>
    <row r="789" spans="1:4" x14ac:dyDescent="0.25">
      <c r="A789" s="12">
        <f>+'Rainfall Data'!B788</f>
        <v>42528</v>
      </c>
      <c r="B789" s="26">
        <f>+'Rainfall Data'!C788</f>
        <v>20.5</v>
      </c>
      <c r="C789" s="26">
        <f t="shared" ref="C789:C852" si="64">IF(B789="nd",0, IF(B789="T",0,B789))+C788</f>
        <v>77.599999999999994</v>
      </c>
      <c r="D789" s="25">
        <f t="shared" ref="D789:D852" si="65">+YEAR(A789)*1000+MONTH(A789)</f>
        <v>2016006</v>
      </c>
    </row>
    <row r="790" spans="1:4" x14ac:dyDescent="0.25">
      <c r="A790" s="12">
        <f>+'Rainfall Data'!B789</f>
        <v>42529</v>
      </c>
      <c r="B790" s="26">
        <f>+'Rainfall Data'!C789</f>
        <v>13.6</v>
      </c>
      <c r="C790" s="26">
        <f t="shared" si="64"/>
        <v>91.199999999999989</v>
      </c>
      <c r="D790" s="25">
        <f t="shared" si="65"/>
        <v>2016006</v>
      </c>
    </row>
    <row r="791" spans="1:4" x14ac:dyDescent="0.25">
      <c r="A791" s="12">
        <f>+'Rainfall Data'!B790</f>
        <v>42530</v>
      </c>
      <c r="B791" s="26">
        <f>+'Rainfall Data'!C790</f>
        <v>10</v>
      </c>
      <c r="C791" s="26">
        <f t="shared" si="64"/>
        <v>101.19999999999999</v>
      </c>
      <c r="D791" s="25">
        <f t="shared" si="65"/>
        <v>2016006</v>
      </c>
    </row>
    <row r="792" spans="1:4" x14ac:dyDescent="0.25">
      <c r="A792" s="12">
        <f>+'Rainfall Data'!B791</f>
        <v>42531</v>
      </c>
      <c r="B792" s="26">
        <f>+'Rainfall Data'!C791</f>
        <v>16.5</v>
      </c>
      <c r="C792" s="26">
        <f t="shared" si="64"/>
        <v>117.69999999999999</v>
      </c>
      <c r="D792" s="25">
        <f t="shared" si="65"/>
        <v>2016006</v>
      </c>
    </row>
    <row r="793" spans="1:4" x14ac:dyDescent="0.25">
      <c r="A793" s="12">
        <f>+'Rainfall Data'!B792</f>
        <v>42532</v>
      </c>
      <c r="B793" s="26">
        <f>+'Rainfall Data'!C792</f>
        <v>10</v>
      </c>
      <c r="C793" s="26">
        <f t="shared" si="64"/>
        <v>127.69999999999999</v>
      </c>
      <c r="D793" s="25">
        <f t="shared" si="65"/>
        <v>2016006</v>
      </c>
    </row>
    <row r="794" spans="1:4" x14ac:dyDescent="0.25">
      <c r="A794" s="12">
        <f>+'Rainfall Data'!B793</f>
        <v>42533</v>
      </c>
      <c r="B794" s="26" t="str">
        <f>+'Rainfall Data'!C793</f>
        <v>T</v>
      </c>
      <c r="C794" s="26">
        <f t="shared" si="64"/>
        <v>127.69999999999999</v>
      </c>
      <c r="D794" s="25">
        <f t="shared" si="65"/>
        <v>2016006</v>
      </c>
    </row>
    <row r="795" spans="1:4" x14ac:dyDescent="0.25">
      <c r="A795" s="12">
        <f>+'Rainfall Data'!B794</f>
        <v>42534</v>
      </c>
      <c r="B795" s="26">
        <f>+'Rainfall Data'!C794</f>
        <v>16.399999999999999</v>
      </c>
      <c r="C795" s="26">
        <f t="shared" si="64"/>
        <v>144.1</v>
      </c>
      <c r="D795" s="25">
        <f t="shared" si="65"/>
        <v>2016006</v>
      </c>
    </row>
    <row r="796" spans="1:4" x14ac:dyDescent="0.25">
      <c r="A796" s="12">
        <f>+'Rainfall Data'!B795</f>
        <v>42535</v>
      </c>
      <c r="B796" s="26">
        <f>+'Rainfall Data'!C795</f>
        <v>20.5</v>
      </c>
      <c r="C796" s="26">
        <f t="shared" si="64"/>
        <v>164.6</v>
      </c>
      <c r="D796" s="25">
        <f t="shared" si="65"/>
        <v>2016006</v>
      </c>
    </row>
    <row r="797" spans="1:4" x14ac:dyDescent="0.25">
      <c r="A797" s="12">
        <f>+'Rainfall Data'!B796</f>
        <v>42536</v>
      </c>
      <c r="B797" s="26" t="str">
        <f>+'Rainfall Data'!C796</f>
        <v>T</v>
      </c>
      <c r="C797" s="26">
        <f t="shared" si="64"/>
        <v>164.6</v>
      </c>
      <c r="D797" s="25">
        <f t="shared" si="65"/>
        <v>2016006</v>
      </c>
    </row>
    <row r="798" spans="1:4" x14ac:dyDescent="0.25">
      <c r="A798" s="12">
        <f>+'Rainfall Data'!B797</f>
        <v>42537</v>
      </c>
      <c r="B798" s="26">
        <f>+'Rainfall Data'!C797</f>
        <v>0</v>
      </c>
      <c r="C798" s="26">
        <f t="shared" si="64"/>
        <v>164.6</v>
      </c>
      <c r="D798" s="25">
        <f t="shared" si="65"/>
        <v>2016006</v>
      </c>
    </row>
    <row r="799" spans="1:4" x14ac:dyDescent="0.25">
      <c r="A799" s="12">
        <f>+'Rainfall Data'!B798</f>
        <v>42538</v>
      </c>
      <c r="B799" s="26" t="str">
        <f>+'Rainfall Data'!C798</f>
        <v>T</v>
      </c>
      <c r="C799" s="26">
        <f t="shared" si="64"/>
        <v>164.6</v>
      </c>
      <c r="D799" s="25">
        <f t="shared" si="65"/>
        <v>2016006</v>
      </c>
    </row>
    <row r="800" spans="1:4" x14ac:dyDescent="0.25">
      <c r="A800" s="12">
        <f>+'Rainfall Data'!B799</f>
        <v>42539</v>
      </c>
      <c r="B800" s="26">
        <f>+'Rainfall Data'!C799</f>
        <v>25</v>
      </c>
      <c r="C800" s="26">
        <f t="shared" si="64"/>
        <v>189.6</v>
      </c>
      <c r="D800" s="25">
        <f t="shared" si="65"/>
        <v>2016006</v>
      </c>
    </row>
    <row r="801" spans="1:4" x14ac:dyDescent="0.25">
      <c r="A801" s="12">
        <f>+'Rainfall Data'!B800</f>
        <v>42540</v>
      </c>
      <c r="B801" s="26">
        <f>+'Rainfall Data'!C800</f>
        <v>18.5</v>
      </c>
      <c r="C801" s="26">
        <f t="shared" si="64"/>
        <v>208.1</v>
      </c>
      <c r="D801" s="25">
        <f t="shared" si="65"/>
        <v>2016006</v>
      </c>
    </row>
    <row r="802" spans="1:4" x14ac:dyDescent="0.25">
      <c r="A802" s="12">
        <f>+'Rainfall Data'!B801</f>
        <v>42541</v>
      </c>
      <c r="B802" s="26">
        <f>+'Rainfall Data'!C801</f>
        <v>10</v>
      </c>
      <c r="C802" s="26">
        <f t="shared" si="64"/>
        <v>218.1</v>
      </c>
      <c r="D802" s="25">
        <f t="shared" si="65"/>
        <v>2016006</v>
      </c>
    </row>
    <row r="803" spans="1:4" x14ac:dyDescent="0.25">
      <c r="A803" s="12">
        <f>+'Rainfall Data'!B802</f>
        <v>42542</v>
      </c>
      <c r="B803" s="26" t="str">
        <f>+'Rainfall Data'!C802</f>
        <v>T</v>
      </c>
      <c r="C803" s="26">
        <f t="shared" si="64"/>
        <v>218.1</v>
      </c>
      <c r="D803" s="25">
        <f t="shared" si="65"/>
        <v>2016006</v>
      </c>
    </row>
    <row r="804" spans="1:4" x14ac:dyDescent="0.25">
      <c r="A804" s="12">
        <f>+'Rainfall Data'!B803</f>
        <v>42543</v>
      </c>
      <c r="B804" s="26" t="str">
        <f>+'Rainfall Data'!C803</f>
        <v>T</v>
      </c>
      <c r="C804" s="26">
        <f t="shared" si="64"/>
        <v>218.1</v>
      </c>
      <c r="D804" s="25">
        <f t="shared" si="65"/>
        <v>2016006</v>
      </c>
    </row>
    <row r="805" spans="1:4" x14ac:dyDescent="0.25">
      <c r="A805" s="12">
        <f>+'Rainfall Data'!B804</f>
        <v>42544</v>
      </c>
      <c r="B805" s="26">
        <f>+'Rainfall Data'!C804</f>
        <v>0</v>
      </c>
      <c r="C805" s="26">
        <f t="shared" si="64"/>
        <v>218.1</v>
      </c>
      <c r="D805" s="25">
        <f t="shared" si="65"/>
        <v>2016006</v>
      </c>
    </row>
    <row r="806" spans="1:4" x14ac:dyDescent="0.25">
      <c r="A806" s="12">
        <f>+'Rainfall Data'!B805</f>
        <v>42545</v>
      </c>
      <c r="B806" s="26">
        <f>+'Rainfall Data'!C805</f>
        <v>20.5</v>
      </c>
      <c r="C806" s="26">
        <f t="shared" si="64"/>
        <v>238.6</v>
      </c>
      <c r="D806" s="25">
        <f t="shared" si="65"/>
        <v>2016006</v>
      </c>
    </row>
    <row r="807" spans="1:4" x14ac:dyDescent="0.25">
      <c r="A807" s="12">
        <f>+'Rainfall Data'!B806</f>
        <v>42546</v>
      </c>
      <c r="B807" s="26">
        <f>+'Rainfall Data'!C806</f>
        <v>16.399999999999999</v>
      </c>
      <c r="C807" s="26">
        <f t="shared" si="64"/>
        <v>255</v>
      </c>
      <c r="D807" s="25">
        <f t="shared" si="65"/>
        <v>2016006</v>
      </c>
    </row>
    <row r="808" spans="1:4" x14ac:dyDescent="0.25">
      <c r="A808" s="12">
        <f>+'Rainfall Data'!B807</f>
        <v>42547</v>
      </c>
      <c r="B808" s="26">
        <f>+'Rainfall Data'!C807</f>
        <v>18.600000000000001</v>
      </c>
      <c r="C808" s="26">
        <f t="shared" si="64"/>
        <v>273.60000000000002</v>
      </c>
      <c r="D808" s="25">
        <f t="shared" si="65"/>
        <v>2016006</v>
      </c>
    </row>
    <row r="809" spans="1:4" x14ac:dyDescent="0.25">
      <c r="A809" s="12">
        <f>+'Rainfall Data'!B808</f>
        <v>42548</v>
      </c>
      <c r="B809" s="26">
        <f>+'Rainfall Data'!C808</f>
        <v>25</v>
      </c>
      <c r="C809" s="26">
        <f t="shared" si="64"/>
        <v>298.60000000000002</v>
      </c>
      <c r="D809" s="25">
        <f t="shared" si="65"/>
        <v>2016006</v>
      </c>
    </row>
    <row r="810" spans="1:4" x14ac:dyDescent="0.25">
      <c r="A810" s="12">
        <f>+'Rainfall Data'!B809</f>
        <v>42549</v>
      </c>
      <c r="B810" s="26">
        <f>+'Rainfall Data'!C809</f>
        <v>10.199999999999999</v>
      </c>
      <c r="C810" s="26">
        <f t="shared" si="64"/>
        <v>308.8</v>
      </c>
      <c r="D810" s="25">
        <f t="shared" si="65"/>
        <v>2016006</v>
      </c>
    </row>
    <row r="811" spans="1:4" x14ac:dyDescent="0.25">
      <c r="A811" s="12">
        <f>+'Rainfall Data'!B810</f>
        <v>42550</v>
      </c>
      <c r="B811" s="26">
        <f>+'Rainfall Data'!C810</f>
        <v>13.5</v>
      </c>
      <c r="C811" s="26">
        <f t="shared" si="64"/>
        <v>322.3</v>
      </c>
      <c r="D811" s="25">
        <f t="shared" si="65"/>
        <v>2016006</v>
      </c>
    </row>
    <row r="812" spans="1:4" x14ac:dyDescent="0.25">
      <c r="A812" s="12">
        <f>+'Rainfall Data'!B811</f>
        <v>42551</v>
      </c>
      <c r="B812" s="26">
        <f>+'Rainfall Data'!C811</f>
        <v>10.6</v>
      </c>
      <c r="C812" s="26">
        <f t="shared" si="64"/>
        <v>332.90000000000003</v>
      </c>
      <c r="D812" s="25">
        <f t="shared" si="65"/>
        <v>2016006</v>
      </c>
    </row>
    <row r="813" spans="1:4" x14ac:dyDescent="0.25">
      <c r="A813" s="12">
        <f>+'Rainfall Data'!B812</f>
        <v>42552</v>
      </c>
      <c r="B813" s="26">
        <f>+'Rainfall Data'!C812</f>
        <v>6</v>
      </c>
      <c r="C813" s="26">
        <f t="shared" si="64"/>
        <v>338.90000000000003</v>
      </c>
      <c r="D813" s="25">
        <f t="shared" si="65"/>
        <v>2016007</v>
      </c>
    </row>
    <row r="814" spans="1:4" x14ac:dyDescent="0.25">
      <c r="A814" s="12">
        <f>+'Rainfall Data'!B813</f>
        <v>42553</v>
      </c>
      <c r="B814" s="26">
        <f>+'Rainfall Data'!C813</f>
        <v>16.2</v>
      </c>
      <c r="C814" s="26">
        <f t="shared" si="64"/>
        <v>355.1</v>
      </c>
      <c r="D814" s="25">
        <f t="shared" si="65"/>
        <v>2016007</v>
      </c>
    </row>
    <row r="815" spans="1:4" x14ac:dyDescent="0.25">
      <c r="A815" s="12">
        <f>+'Rainfall Data'!B814</f>
        <v>42554</v>
      </c>
      <c r="B815" s="26">
        <f>+'Rainfall Data'!C814</f>
        <v>5</v>
      </c>
      <c r="C815" s="26">
        <f t="shared" si="64"/>
        <v>360.1</v>
      </c>
      <c r="D815" s="25">
        <f t="shared" si="65"/>
        <v>2016007</v>
      </c>
    </row>
    <row r="816" spans="1:4" x14ac:dyDescent="0.25">
      <c r="A816" s="12">
        <f>+'Rainfall Data'!B815</f>
        <v>42555</v>
      </c>
      <c r="B816" s="26" t="str">
        <f>+'Rainfall Data'!C815</f>
        <v>T</v>
      </c>
      <c r="C816" s="26">
        <f t="shared" si="64"/>
        <v>360.1</v>
      </c>
      <c r="D816" s="25">
        <f t="shared" si="65"/>
        <v>2016007</v>
      </c>
    </row>
    <row r="817" spans="1:4" x14ac:dyDescent="0.25">
      <c r="A817" s="12">
        <f>+'Rainfall Data'!B816</f>
        <v>42556</v>
      </c>
      <c r="B817" s="26">
        <f>+'Rainfall Data'!C816</f>
        <v>0</v>
      </c>
      <c r="C817" s="26">
        <f t="shared" si="64"/>
        <v>360.1</v>
      </c>
      <c r="D817" s="25">
        <f t="shared" si="65"/>
        <v>2016007</v>
      </c>
    </row>
    <row r="818" spans="1:4" x14ac:dyDescent="0.25">
      <c r="A818" s="12">
        <f>+'Rainfall Data'!B817</f>
        <v>42557</v>
      </c>
      <c r="B818" s="26" t="str">
        <f>+'Rainfall Data'!C817</f>
        <v>T</v>
      </c>
      <c r="C818" s="26">
        <f t="shared" si="64"/>
        <v>360.1</v>
      </c>
      <c r="D818" s="25">
        <f t="shared" si="65"/>
        <v>2016007</v>
      </c>
    </row>
    <row r="819" spans="1:4" x14ac:dyDescent="0.25">
      <c r="A819" s="12">
        <f>+'Rainfall Data'!B818</f>
        <v>42558</v>
      </c>
      <c r="B819" s="26">
        <f>+'Rainfall Data'!C818</f>
        <v>10.4</v>
      </c>
      <c r="C819" s="26">
        <f t="shared" si="64"/>
        <v>370.5</v>
      </c>
      <c r="D819" s="25">
        <f t="shared" si="65"/>
        <v>2016007</v>
      </c>
    </row>
    <row r="820" spans="1:4" x14ac:dyDescent="0.25">
      <c r="A820" s="12">
        <f>+'Rainfall Data'!B819</f>
        <v>42559</v>
      </c>
      <c r="B820" s="26">
        <f>+'Rainfall Data'!C819</f>
        <v>20.6</v>
      </c>
      <c r="C820" s="26">
        <f t="shared" si="64"/>
        <v>391.1</v>
      </c>
      <c r="D820" s="25">
        <f t="shared" si="65"/>
        <v>2016007</v>
      </c>
    </row>
    <row r="821" spans="1:4" x14ac:dyDescent="0.25">
      <c r="A821" s="12">
        <f>+'Rainfall Data'!B820</f>
        <v>42560</v>
      </c>
      <c r="B821" s="26">
        <f>+'Rainfall Data'!C820</f>
        <v>11.5</v>
      </c>
      <c r="C821" s="26">
        <f t="shared" si="64"/>
        <v>402.6</v>
      </c>
      <c r="D821" s="25">
        <f t="shared" si="65"/>
        <v>2016007</v>
      </c>
    </row>
    <row r="822" spans="1:4" x14ac:dyDescent="0.25">
      <c r="A822" s="12">
        <f>+'Rainfall Data'!B821</f>
        <v>42561</v>
      </c>
      <c r="B822" s="26">
        <f>+'Rainfall Data'!C821</f>
        <v>16.3</v>
      </c>
      <c r="C822" s="26">
        <f t="shared" si="64"/>
        <v>418.90000000000003</v>
      </c>
      <c r="D822" s="25">
        <f t="shared" si="65"/>
        <v>2016007</v>
      </c>
    </row>
    <row r="823" spans="1:4" x14ac:dyDescent="0.25">
      <c r="A823" s="12">
        <f>+'Rainfall Data'!B822</f>
        <v>42562</v>
      </c>
      <c r="B823" s="26">
        <f>+'Rainfall Data'!C822</f>
        <v>3.6</v>
      </c>
      <c r="C823" s="26">
        <f t="shared" si="64"/>
        <v>422.50000000000006</v>
      </c>
      <c r="D823" s="25">
        <f t="shared" si="65"/>
        <v>2016007</v>
      </c>
    </row>
    <row r="824" spans="1:4" x14ac:dyDescent="0.25">
      <c r="A824" s="12">
        <f>+'Rainfall Data'!B823</f>
        <v>42563</v>
      </c>
      <c r="B824" s="26" t="str">
        <f>+'Rainfall Data'!C823</f>
        <v>T</v>
      </c>
      <c r="C824" s="26">
        <f t="shared" si="64"/>
        <v>422.50000000000006</v>
      </c>
      <c r="D824" s="25">
        <f t="shared" si="65"/>
        <v>2016007</v>
      </c>
    </row>
    <row r="825" spans="1:4" x14ac:dyDescent="0.25">
      <c r="A825" s="12">
        <f>+'Rainfall Data'!B824</f>
        <v>42564</v>
      </c>
      <c r="B825" s="26">
        <f>+'Rainfall Data'!C824</f>
        <v>0</v>
      </c>
      <c r="C825" s="26">
        <f t="shared" si="64"/>
        <v>422.50000000000006</v>
      </c>
      <c r="D825" s="25">
        <f t="shared" si="65"/>
        <v>2016007</v>
      </c>
    </row>
    <row r="826" spans="1:4" x14ac:dyDescent="0.25">
      <c r="A826" s="12">
        <f>+'Rainfall Data'!B825</f>
        <v>42565</v>
      </c>
      <c r="B826" s="26">
        <f>+'Rainfall Data'!C825</f>
        <v>12.4</v>
      </c>
      <c r="C826" s="26">
        <f t="shared" si="64"/>
        <v>434.90000000000003</v>
      </c>
      <c r="D826" s="25">
        <f t="shared" si="65"/>
        <v>2016007</v>
      </c>
    </row>
    <row r="827" spans="1:4" x14ac:dyDescent="0.25">
      <c r="A827" s="12">
        <f>+'Rainfall Data'!B826</f>
        <v>42566</v>
      </c>
      <c r="B827" s="26" t="str">
        <f>+'Rainfall Data'!C826</f>
        <v>T</v>
      </c>
      <c r="C827" s="26">
        <f t="shared" si="64"/>
        <v>434.90000000000003</v>
      </c>
      <c r="D827" s="25">
        <f t="shared" si="65"/>
        <v>2016007</v>
      </c>
    </row>
    <row r="828" spans="1:4" x14ac:dyDescent="0.25">
      <c r="A828" s="12">
        <f>+'Rainfall Data'!B827</f>
        <v>42567</v>
      </c>
      <c r="B828" s="26" t="str">
        <f>+'Rainfall Data'!C827</f>
        <v>T</v>
      </c>
      <c r="C828" s="26">
        <f t="shared" si="64"/>
        <v>434.90000000000003</v>
      </c>
      <c r="D828" s="25">
        <f t="shared" si="65"/>
        <v>2016007</v>
      </c>
    </row>
    <row r="829" spans="1:4" x14ac:dyDescent="0.25">
      <c r="A829" s="12">
        <f>+'Rainfall Data'!B828</f>
        <v>42568</v>
      </c>
      <c r="B829" s="26">
        <f>+'Rainfall Data'!C828</f>
        <v>0</v>
      </c>
      <c r="C829" s="26">
        <f t="shared" si="64"/>
        <v>434.90000000000003</v>
      </c>
      <c r="D829" s="25">
        <f t="shared" si="65"/>
        <v>2016007</v>
      </c>
    </row>
    <row r="830" spans="1:4" x14ac:dyDescent="0.25">
      <c r="A830" s="12">
        <f>+'Rainfall Data'!B829</f>
        <v>42569</v>
      </c>
      <c r="B830" s="26">
        <f>+'Rainfall Data'!C829</f>
        <v>17.600000000000001</v>
      </c>
      <c r="C830" s="26">
        <f t="shared" si="64"/>
        <v>452.50000000000006</v>
      </c>
      <c r="D830" s="25">
        <f t="shared" si="65"/>
        <v>2016007</v>
      </c>
    </row>
    <row r="831" spans="1:4" x14ac:dyDescent="0.25">
      <c r="A831" s="12">
        <f>+'Rainfall Data'!B830</f>
        <v>42570</v>
      </c>
      <c r="B831" s="26">
        <f>+'Rainfall Data'!C830</f>
        <v>21.4</v>
      </c>
      <c r="C831" s="26">
        <f t="shared" si="64"/>
        <v>473.90000000000003</v>
      </c>
      <c r="D831" s="25">
        <f t="shared" si="65"/>
        <v>2016007</v>
      </c>
    </row>
    <row r="832" spans="1:4" x14ac:dyDescent="0.25">
      <c r="A832" s="12">
        <f>+'Rainfall Data'!B831</f>
        <v>42571</v>
      </c>
      <c r="B832" s="26">
        <f>+'Rainfall Data'!C831</f>
        <v>10.5</v>
      </c>
      <c r="C832" s="26">
        <f t="shared" si="64"/>
        <v>484.40000000000003</v>
      </c>
      <c r="D832" s="25">
        <f t="shared" si="65"/>
        <v>2016007</v>
      </c>
    </row>
    <row r="833" spans="1:4" x14ac:dyDescent="0.25">
      <c r="A833" s="12">
        <f>+'Rainfall Data'!B832</f>
        <v>42572</v>
      </c>
      <c r="B833" s="26">
        <f>+'Rainfall Data'!C832</f>
        <v>6</v>
      </c>
      <c r="C833" s="26">
        <f t="shared" si="64"/>
        <v>490.40000000000003</v>
      </c>
      <c r="D833" s="25">
        <f t="shared" si="65"/>
        <v>2016007</v>
      </c>
    </row>
    <row r="834" spans="1:4" x14ac:dyDescent="0.25">
      <c r="A834" s="12">
        <f>+'Rainfall Data'!B833</f>
        <v>42573</v>
      </c>
      <c r="B834" s="26" t="str">
        <f>+'Rainfall Data'!C833</f>
        <v>T</v>
      </c>
      <c r="C834" s="26">
        <f t="shared" si="64"/>
        <v>490.40000000000003</v>
      </c>
      <c r="D834" s="25">
        <f t="shared" si="65"/>
        <v>2016007</v>
      </c>
    </row>
    <row r="835" spans="1:4" x14ac:dyDescent="0.25">
      <c r="A835" s="12">
        <f>+'Rainfall Data'!B834</f>
        <v>42574</v>
      </c>
      <c r="B835" s="26">
        <f>+'Rainfall Data'!C834</f>
        <v>16.2</v>
      </c>
      <c r="C835" s="26">
        <f t="shared" si="64"/>
        <v>506.6</v>
      </c>
      <c r="D835" s="25">
        <f t="shared" si="65"/>
        <v>2016007</v>
      </c>
    </row>
    <row r="836" spans="1:4" x14ac:dyDescent="0.25">
      <c r="A836" s="12">
        <f>+'Rainfall Data'!B835</f>
        <v>42575</v>
      </c>
      <c r="B836" s="26">
        <f>+'Rainfall Data'!C835</f>
        <v>21.4</v>
      </c>
      <c r="C836" s="26">
        <f t="shared" si="64"/>
        <v>528</v>
      </c>
      <c r="D836" s="25">
        <f t="shared" si="65"/>
        <v>2016007</v>
      </c>
    </row>
    <row r="837" spans="1:4" x14ac:dyDescent="0.25">
      <c r="A837" s="12">
        <f>+'Rainfall Data'!B836</f>
        <v>42576</v>
      </c>
      <c r="B837" s="26" t="str">
        <f>+'Rainfall Data'!C836</f>
        <v>T</v>
      </c>
      <c r="C837" s="26">
        <f t="shared" si="64"/>
        <v>528</v>
      </c>
      <c r="D837" s="25">
        <f t="shared" si="65"/>
        <v>2016007</v>
      </c>
    </row>
    <row r="838" spans="1:4" x14ac:dyDescent="0.25">
      <c r="A838" s="12">
        <f>+'Rainfall Data'!B837</f>
        <v>42577</v>
      </c>
      <c r="B838" s="26">
        <f>+'Rainfall Data'!C837</f>
        <v>0</v>
      </c>
      <c r="C838" s="26">
        <f t="shared" si="64"/>
        <v>528</v>
      </c>
      <c r="D838" s="25">
        <f t="shared" si="65"/>
        <v>2016007</v>
      </c>
    </row>
    <row r="839" spans="1:4" x14ac:dyDescent="0.25">
      <c r="A839" s="12">
        <f>+'Rainfall Data'!B838</f>
        <v>42578</v>
      </c>
      <c r="B839" s="26" t="str">
        <f>+'Rainfall Data'!C838</f>
        <v>T</v>
      </c>
      <c r="C839" s="26">
        <f t="shared" si="64"/>
        <v>528</v>
      </c>
      <c r="D839" s="25">
        <f t="shared" si="65"/>
        <v>2016007</v>
      </c>
    </row>
    <row r="840" spans="1:4" x14ac:dyDescent="0.25">
      <c r="A840" s="12">
        <f>+'Rainfall Data'!B839</f>
        <v>42579</v>
      </c>
      <c r="B840" s="26">
        <f>+'Rainfall Data'!C839</f>
        <v>10.5</v>
      </c>
      <c r="C840" s="26">
        <f t="shared" si="64"/>
        <v>538.5</v>
      </c>
      <c r="D840" s="25">
        <f t="shared" si="65"/>
        <v>2016007</v>
      </c>
    </row>
    <row r="841" spans="1:4" x14ac:dyDescent="0.25">
      <c r="A841" s="12">
        <f>+'Rainfall Data'!B840</f>
        <v>42580</v>
      </c>
      <c r="B841" s="26">
        <f>+'Rainfall Data'!C840</f>
        <v>17.600000000000001</v>
      </c>
      <c r="C841" s="26">
        <f t="shared" si="64"/>
        <v>556.1</v>
      </c>
      <c r="D841" s="25">
        <f t="shared" si="65"/>
        <v>2016007</v>
      </c>
    </row>
    <row r="842" spans="1:4" x14ac:dyDescent="0.25">
      <c r="A842" s="12">
        <f>+'Rainfall Data'!B841</f>
        <v>42581</v>
      </c>
      <c r="B842" s="26">
        <f>+'Rainfall Data'!C841</f>
        <v>24.3</v>
      </c>
      <c r="C842" s="26">
        <f t="shared" si="64"/>
        <v>580.4</v>
      </c>
      <c r="D842" s="25">
        <f t="shared" si="65"/>
        <v>2016007</v>
      </c>
    </row>
    <row r="843" spans="1:4" x14ac:dyDescent="0.25">
      <c r="A843" s="12">
        <f>+'Rainfall Data'!B842</f>
        <v>42582</v>
      </c>
      <c r="B843" s="26">
        <f>+'Rainfall Data'!C842</f>
        <v>20.399999999999999</v>
      </c>
      <c r="C843" s="26">
        <f t="shared" si="64"/>
        <v>600.79999999999995</v>
      </c>
      <c r="D843" s="25">
        <f t="shared" si="65"/>
        <v>2016007</v>
      </c>
    </row>
    <row r="844" spans="1:4" x14ac:dyDescent="0.25">
      <c r="A844" s="12">
        <f>+'Rainfall Data'!B843</f>
        <v>42583</v>
      </c>
      <c r="B844" s="26">
        <f>+'Rainfall Data'!C843</f>
        <v>2.6</v>
      </c>
      <c r="C844" s="26">
        <f t="shared" si="64"/>
        <v>603.4</v>
      </c>
      <c r="D844" s="25">
        <f t="shared" si="65"/>
        <v>2016008</v>
      </c>
    </row>
    <row r="845" spans="1:4" x14ac:dyDescent="0.25">
      <c r="A845" s="12">
        <f>+'Rainfall Data'!B844</f>
        <v>42584</v>
      </c>
      <c r="B845" s="26">
        <f>+'Rainfall Data'!C844</f>
        <v>7.5</v>
      </c>
      <c r="C845" s="26">
        <f t="shared" si="64"/>
        <v>610.9</v>
      </c>
      <c r="D845" s="25">
        <f t="shared" si="65"/>
        <v>2016008</v>
      </c>
    </row>
    <row r="846" spans="1:4" x14ac:dyDescent="0.25">
      <c r="A846" s="12">
        <f>+'Rainfall Data'!B845</f>
        <v>42585</v>
      </c>
      <c r="B846" s="26">
        <f>+'Rainfall Data'!C845</f>
        <v>18</v>
      </c>
      <c r="C846" s="26">
        <f t="shared" si="64"/>
        <v>628.9</v>
      </c>
      <c r="D846" s="25">
        <f t="shared" si="65"/>
        <v>2016008</v>
      </c>
    </row>
    <row r="847" spans="1:4" x14ac:dyDescent="0.25">
      <c r="A847" s="12">
        <f>+'Rainfall Data'!B846</f>
        <v>42586</v>
      </c>
      <c r="B847" s="26">
        <f>+'Rainfall Data'!C846</f>
        <v>20</v>
      </c>
      <c r="C847" s="26">
        <f t="shared" si="64"/>
        <v>648.9</v>
      </c>
      <c r="D847" s="25">
        <f t="shared" si="65"/>
        <v>2016008</v>
      </c>
    </row>
    <row r="848" spans="1:4" x14ac:dyDescent="0.25">
      <c r="A848" s="12">
        <f>+'Rainfall Data'!B847</f>
        <v>42587</v>
      </c>
      <c r="B848" s="26">
        <f>+'Rainfall Data'!C847</f>
        <v>17.399999999999999</v>
      </c>
      <c r="C848" s="26">
        <f t="shared" si="64"/>
        <v>666.3</v>
      </c>
      <c r="D848" s="25">
        <f t="shared" si="65"/>
        <v>2016008</v>
      </c>
    </row>
    <row r="849" spans="1:4" x14ac:dyDescent="0.25">
      <c r="A849" s="12">
        <f>+'Rainfall Data'!B848</f>
        <v>42588</v>
      </c>
      <c r="B849" s="26">
        <f>+'Rainfall Data'!C848</f>
        <v>6.5</v>
      </c>
      <c r="C849" s="26">
        <f t="shared" si="64"/>
        <v>672.8</v>
      </c>
      <c r="D849" s="25">
        <f t="shared" si="65"/>
        <v>2016008</v>
      </c>
    </row>
    <row r="850" spans="1:4" x14ac:dyDescent="0.25">
      <c r="A850" s="12">
        <f>+'Rainfall Data'!B849</f>
        <v>42589</v>
      </c>
      <c r="B850" s="26">
        <f>+'Rainfall Data'!C849</f>
        <v>20</v>
      </c>
      <c r="C850" s="26">
        <f t="shared" si="64"/>
        <v>692.8</v>
      </c>
      <c r="D850" s="25">
        <f t="shared" si="65"/>
        <v>2016008</v>
      </c>
    </row>
    <row r="851" spans="1:4" x14ac:dyDescent="0.25">
      <c r="A851" s="12">
        <f>+'Rainfall Data'!B850</f>
        <v>42590</v>
      </c>
      <c r="B851" s="26">
        <f>+'Rainfall Data'!C850</f>
        <v>6.4</v>
      </c>
      <c r="C851" s="26">
        <f t="shared" si="64"/>
        <v>699.19999999999993</v>
      </c>
      <c r="D851" s="25">
        <f t="shared" si="65"/>
        <v>2016008</v>
      </c>
    </row>
    <row r="852" spans="1:4" x14ac:dyDescent="0.25">
      <c r="A852" s="12">
        <f>+'Rainfall Data'!B851</f>
        <v>42591</v>
      </c>
      <c r="B852" s="26">
        <f>+'Rainfall Data'!C851</f>
        <v>10.4</v>
      </c>
      <c r="C852" s="26">
        <f t="shared" si="64"/>
        <v>709.59999999999991</v>
      </c>
      <c r="D852" s="25">
        <f t="shared" si="65"/>
        <v>2016008</v>
      </c>
    </row>
    <row r="853" spans="1:4" x14ac:dyDescent="0.25">
      <c r="A853" s="12">
        <f>+'Rainfall Data'!B852</f>
        <v>42592</v>
      </c>
      <c r="B853" s="26">
        <f>+'Rainfall Data'!C852</f>
        <v>20.100000000000001</v>
      </c>
      <c r="C853" s="26">
        <f t="shared" ref="C853:C903" si="66">IF(B853="nd",0, IF(B853="T",0,B853))+C852</f>
        <v>729.69999999999993</v>
      </c>
      <c r="D853" s="25">
        <f t="shared" ref="D853:D903" si="67">+YEAR(A853)*1000+MONTH(A853)</f>
        <v>2016008</v>
      </c>
    </row>
    <row r="854" spans="1:4" x14ac:dyDescent="0.25">
      <c r="A854" s="12">
        <f>+'Rainfall Data'!B853</f>
        <v>42593</v>
      </c>
      <c r="B854" s="26">
        <f>+'Rainfall Data'!C853</f>
        <v>16.399999999999999</v>
      </c>
      <c r="C854" s="26">
        <f t="shared" si="66"/>
        <v>746.09999999999991</v>
      </c>
      <c r="D854" s="25">
        <f t="shared" si="67"/>
        <v>2016008</v>
      </c>
    </row>
    <row r="855" spans="1:4" x14ac:dyDescent="0.25">
      <c r="A855" s="12">
        <f>+'Rainfall Data'!B854</f>
        <v>42594</v>
      </c>
      <c r="B855" s="26">
        <f>+'Rainfall Data'!C854</f>
        <v>11.2</v>
      </c>
      <c r="C855" s="26">
        <f t="shared" si="66"/>
        <v>757.3</v>
      </c>
      <c r="D855" s="25">
        <f t="shared" si="67"/>
        <v>2016008</v>
      </c>
    </row>
    <row r="856" spans="1:4" x14ac:dyDescent="0.25">
      <c r="A856" s="12">
        <f>+'Rainfall Data'!B855</f>
        <v>42595</v>
      </c>
      <c r="B856" s="26" t="str">
        <f>+'Rainfall Data'!C855</f>
        <v>T</v>
      </c>
      <c r="C856" s="26">
        <f t="shared" si="66"/>
        <v>757.3</v>
      </c>
      <c r="D856" s="25">
        <f t="shared" si="67"/>
        <v>2016008</v>
      </c>
    </row>
    <row r="857" spans="1:4" x14ac:dyDescent="0.25">
      <c r="A857" s="12">
        <f>+'Rainfall Data'!B856</f>
        <v>42596</v>
      </c>
      <c r="B857" s="26" t="str">
        <f>+'Rainfall Data'!C856</f>
        <v>T</v>
      </c>
      <c r="C857" s="26">
        <f t="shared" si="66"/>
        <v>757.3</v>
      </c>
      <c r="D857" s="25">
        <f t="shared" si="67"/>
        <v>2016008</v>
      </c>
    </row>
    <row r="858" spans="1:4" x14ac:dyDescent="0.25">
      <c r="A858" s="12">
        <f>+'Rainfall Data'!B857</f>
        <v>42597</v>
      </c>
      <c r="B858" s="26">
        <f>+'Rainfall Data'!C857</f>
        <v>6.1</v>
      </c>
      <c r="C858" s="26">
        <f t="shared" si="66"/>
        <v>763.4</v>
      </c>
      <c r="D858" s="25">
        <f t="shared" si="67"/>
        <v>2016008</v>
      </c>
    </row>
    <row r="859" spans="1:4" x14ac:dyDescent="0.25">
      <c r="A859" s="12">
        <f>+'Rainfall Data'!B858</f>
        <v>42598</v>
      </c>
      <c r="B859" s="26">
        <f>+'Rainfall Data'!C858</f>
        <v>0</v>
      </c>
      <c r="C859" s="26">
        <f t="shared" si="66"/>
        <v>763.4</v>
      </c>
      <c r="D859" s="25">
        <f t="shared" si="67"/>
        <v>2016008</v>
      </c>
    </row>
    <row r="860" spans="1:4" x14ac:dyDescent="0.25">
      <c r="A860" s="12">
        <f>+'Rainfall Data'!B859</f>
        <v>42599</v>
      </c>
      <c r="B860" s="26">
        <f>+'Rainfall Data'!C859</f>
        <v>0</v>
      </c>
      <c r="C860" s="26">
        <f t="shared" si="66"/>
        <v>763.4</v>
      </c>
      <c r="D860" s="25">
        <f t="shared" si="67"/>
        <v>2016008</v>
      </c>
    </row>
    <row r="861" spans="1:4" x14ac:dyDescent="0.25">
      <c r="A861" s="12">
        <f>+'Rainfall Data'!B860</f>
        <v>42600</v>
      </c>
      <c r="B861" s="26">
        <f>+'Rainfall Data'!C860</f>
        <v>0</v>
      </c>
      <c r="C861" s="26">
        <f t="shared" si="66"/>
        <v>763.4</v>
      </c>
      <c r="D861" s="25">
        <f t="shared" si="67"/>
        <v>2016008</v>
      </c>
    </row>
    <row r="862" spans="1:4" x14ac:dyDescent="0.25">
      <c r="A862" s="12">
        <f>+'Rainfall Data'!B861</f>
        <v>42601</v>
      </c>
      <c r="B862" s="26">
        <f>+'Rainfall Data'!C861</f>
        <v>0</v>
      </c>
      <c r="C862" s="26">
        <f t="shared" si="66"/>
        <v>763.4</v>
      </c>
      <c r="D862" s="25">
        <f t="shared" si="67"/>
        <v>2016008</v>
      </c>
    </row>
    <row r="863" spans="1:4" x14ac:dyDescent="0.25">
      <c r="A863" s="12">
        <f>+'Rainfall Data'!B862</f>
        <v>42602</v>
      </c>
      <c r="B863" s="26">
        <f>+'Rainfall Data'!C862</f>
        <v>0</v>
      </c>
      <c r="C863" s="26">
        <f t="shared" si="66"/>
        <v>763.4</v>
      </c>
      <c r="D863" s="25">
        <f t="shared" si="67"/>
        <v>2016008</v>
      </c>
    </row>
    <row r="864" spans="1:4" x14ac:dyDescent="0.25">
      <c r="A864" s="12">
        <f>+'Rainfall Data'!B863</f>
        <v>42603</v>
      </c>
      <c r="B864" s="26">
        <f>+'Rainfall Data'!C863</f>
        <v>0</v>
      </c>
      <c r="C864" s="26">
        <f t="shared" si="66"/>
        <v>763.4</v>
      </c>
      <c r="D864" s="25">
        <f t="shared" si="67"/>
        <v>2016008</v>
      </c>
    </row>
    <row r="865" spans="1:4" x14ac:dyDescent="0.25">
      <c r="A865" s="12">
        <f>+'Rainfall Data'!B864</f>
        <v>42604</v>
      </c>
      <c r="B865" s="26">
        <f>+'Rainfall Data'!C864</f>
        <v>0</v>
      </c>
      <c r="C865" s="26">
        <f t="shared" si="66"/>
        <v>763.4</v>
      </c>
      <c r="D865" s="25">
        <f t="shared" si="67"/>
        <v>2016008</v>
      </c>
    </row>
    <row r="866" spans="1:4" x14ac:dyDescent="0.25">
      <c r="A866" s="12">
        <f>+'Rainfall Data'!B865</f>
        <v>42605</v>
      </c>
      <c r="B866" s="26" t="str">
        <f>+'Rainfall Data'!C865</f>
        <v>T</v>
      </c>
      <c r="C866" s="26">
        <f t="shared" si="66"/>
        <v>763.4</v>
      </c>
      <c r="D866" s="25">
        <f t="shared" si="67"/>
        <v>2016008</v>
      </c>
    </row>
    <row r="867" spans="1:4" x14ac:dyDescent="0.25">
      <c r="A867" s="12">
        <f>+'Rainfall Data'!B866</f>
        <v>42606</v>
      </c>
      <c r="B867" s="26" t="str">
        <f>+'Rainfall Data'!C866</f>
        <v>T</v>
      </c>
      <c r="C867" s="26">
        <f t="shared" si="66"/>
        <v>763.4</v>
      </c>
      <c r="D867" s="25">
        <f t="shared" si="67"/>
        <v>2016008</v>
      </c>
    </row>
    <row r="868" spans="1:4" x14ac:dyDescent="0.25">
      <c r="A868" s="12">
        <f>+'Rainfall Data'!B867</f>
        <v>42607</v>
      </c>
      <c r="B868" s="26">
        <f>+'Rainfall Data'!C867</f>
        <v>10.199999999999999</v>
      </c>
      <c r="C868" s="26">
        <f t="shared" si="66"/>
        <v>773.6</v>
      </c>
      <c r="D868" s="25">
        <f t="shared" si="67"/>
        <v>2016008</v>
      </c>
    </row>
    <row r="869" spans="1:4" x14ac:dyDescent="0.25">
      <c r="A869" s="12">
        <f>+'Rainfall Data'!B868</f>
        <v>42608</v>
      </c>
      <c r="B869" s="26">
        <f>+'Rainfall Data'!C868</f>
        <v>11</v>
      </c>
      <c r="C869" s="26">
        <f t="shared" si="66"/>
        <v>784.6</v>
      </c>
      <c r="D869" s="25">
        <f t="shared" si="67"/>
        <v>2016008</v>
      </c>
    </row>
    <row r="870" spans="1:4" x14ac:dyDescent="0.25">
      <c r="A870" s="12">
        <f>+'Rainfall Data'!B869</f>
        <v>42609</v>
      </c>
      <c r="B870" s="26" t="str">
        <f>+'Rainfall Data'!C869</f>
        <v>T</v>
      </c>
      <c r="C870" s="26">
        <f t="shared" si="66"/>
        <v>784.6</v>
      </c>
      <c r="D870" s="25">
        <f t="shared" si="67"/>
        <v>2016008</v>
      </c>
    </row>
    <row r="871" spans="1:4" x14ac:dyDescent="0.25">
      <c r="A871" s="12">
        <f>+'Rainfall Data'!B870</f>
        <v>42610</v>
      </c>
      <c r="B871" s="26" t="str">
        <f>+'Rainfall Data'!C870</f>
        <v>T</v>
      </c>
      <c r="C871" s="26">
        <f t="shared" si="66"/>
        <v>784.6</v>
      </c>
      <c r="D871" s="25">
        <f t="shared" si="67"/>
        <v>2016008</v>
      </c>
    </row>
    <row r="872" spans="1:4" x14ac:dyDescent="0.25">
      <c r="A872" s="12">
        <f>+'Rainfall Data'!B871</f>
        <v>42611</v>
      </c>
      <c r="B872" s="26">
        <f>+'Rainfall Data'!C871</f>
        <v>6.7</v>
      </c>
      <c r="C872" s="26">
        <f t="shared" si="66"/>
        <v>791.30000000000007</v>
      </c>
      <c r="D872" s="25">
        <f t="shared" si="67"/>
        <v>2016008</v>
      </c>
    </row>
    <row r="873" spans="1:4" x14ac:dyDescent="0.25">
      <c r="A873" s="12">
        <f>+'Rainfall Data'!B872</f>
        <v>42612</v>
      </c>
      <c r="B873" s="26">
        <f>+'Rainfall Data'!C872</f>
        <v>10.199999999999999</v>
      </c>
      <c r="C873" s="26">
        <f t="shared" si="66"/>
        <v>801.50000000000011</v>
      </c>
      <c r="D873" s="25">
        <f t="shared" si="67"/>
        <v>2016008</v>
      </c>
    </row>
    <row r="874" spans="1:4" x14ac:dyDescent="0.25">
      <c r="A874" s="12">
        <f>+'Rainfall Data'!B873</f>
        <v>42613</v>
      </c>
      <c r="B874" s="26">
        <f>+'Rainfall Data'!C873</f>
        <v>26</v>
      </c>
      <c r="C874" s="26">
        <f t="shared" si="66"/>
        <v>827.50000000000011</v>
      </c>
      <c r="D874" s="25">
        <f t="shared" si="67"/>
        <v>2016008</v>
      </c>
    </row>
    <row r="875" spans="1:4" x14ac:dyDescent="0.25">
      <c r="A875" s="12">
        <f>+'Rainfall Data'!B874</f>
        <v>42614</v>
      </c>
      <c r="B875" s="26">
        <f>+'Rainfall Data'!C874</f>
        <v>10.4</v>
      </c>
      <c r="C875" s="26">
        <f t="shared" si="66"/>
        <v>837.90000000000009</v>
      </c>
      <c r="D875" s="25">
        <f t="shared" si="67"/>
        <v>2016009</v>
      </c>
    </row>
    <row r="876" spans="1:4" x14ac:dyDescent="0.25">
      <c r="A876" s="12">
        <f>+'Rainfall Data'!B875</f>
        <v>42615</v>
      </c>
      <c r="B876" s="26">
        <f>+'Rainfall Data'!C875</f>
        <v>7</v>
      </c>
      <c r="C876" s="26">
        <f t="shared" si="66"/>
        <v>844.90000000000009</v>
      </c>
      <c r="D876" s="25">
        <f t="shared" si="67"/>
        <v>2016009</v>
      </c>
    </row>
    <row r="877" spans="1:4" x14ac:dyDescent="0.25">
      <c r="A877" s="12">
        <f>+'Rainfall Data'!B876</f>
        <v>42616</v>
      </c>
      <c r="B877" s="26">
        <f>+'Rainfall Data'!C876</f>
        <v>10.6</v>
      </c>
      <c r="C877" s="26">
        <f t="shared" si="66"/>
        <v>855.50000000000011</v>
      </c>
      <c r="D877" s="25">
        <f t="shared" si="67"/>
        <v>2016009</v>
      </c>
    </row>
    <row r="878" spans="1:4" x14ac:dyDescent="0.25">
      <c r="A878" s="12">
        <f>+'Rainfall Data'!B877</f>
        <v>42617</v>
      </c>
      <c r="B878" s="26" t="str">
        <f>+'Rainfall Data'!C877</f>
        <v>T</v>
      </c>
      <c r="C878" s="26">
        <f t="shared" si="66"/>
        <v>855.50000000000011</v>
      </c>
      <c r="D878" s="25">
        <f t="shared" si="67"/>
        <v>2016009</v>
      </c>
    </row>
    <row r="879" spans="1:4" x14ac:dyDescent="0.25">
      <c r="A879" s="12">
        <f>+'Rainfall Data'!B878</f>
        <v>42618</v>
      </c>
      <c r="B879" s="26">
        <f>+'Rainfall Data'!C878</f>
        <v>0</v>
      </c>
      <c r="C879" s="26">
        <f t="shared" si="66"/>
        <v>855.50000000000011</v>
      </c>
      <c r="D879" s="25">
        <f t="shared" si="67"/>
        <v>2016009</v>
      </c>
    </row>
    <row r="880" spans="1:4" x14ac:dyDescent="0.25">
      <c r="A880" s="12">
        <f>+'Rainfall Data'!B879</f>
        <v>42619</v>
      </c>
      <c r="B880" s="26">
        <f>+'Rainfall Data'!C879</f>
        <v>0</v>
      </c>
      <c r="C880" s="26">
        <f t="shared" si="66"/>
        <v>855.50000000000011</v>
      </c>
      <c r="D880" s="25">
        <f t="shared" si="67"/>
        <v>2016009</v>
      </c>
    </row>
    <row r="881" spans="1:4" x14ac:dyDescent="0.25">
      <c r="A881" s="12">
        <f>+'Rainfall Data'!B880</f>
        <v>42620</v>
      </c>
      <c r="B881" s="26">
        <f>+'Rainfall Data'!C880</f>
        <v>16.2</v>
      </c>
      <c r="C881" s="26">
        <f t="shared" si="66"/>
        <v>871.70000000000016</v>
      </c>
      <c r="D881" s="25">
        <f t="shared" si="67"/>
        <v>2016009</v>
      </c>
    </row>
    <row r="882" spans="1:4" x14ac:dyDescent="0.25">
      <c r="A882" s="12">
        <f>+'Rainfall Data'!B881</f>
        <v>42621</v>
      </c>
      <c r="B882" s="26">
        <f>+'Rainfall Data'!C881</f>
        <v>11.4</v>
      </c>
      <c r="C882" s="26">
        <f t="shared" si="66"/>
        <v>883.10000000000014</v>
      </c>
      <c r="D882" s="25">
        <f t="shared" si="67"/>
        <v>2016009</v>
      </c>
    </row>
    <row r="883" spans="1:4" x14ac:dyDescent="0.25">
      <c r="A883" s="12">
        <f>+'Rainfall Data'!B882</f>
        <v>42622</v>
      </c>
      <c r="B883" s="26" t="str">
        <f>+'Rainfall Data'!C882</f>
        <v>T</v>
      </c>
      <c r="C883" s="26">
        <f t="shared" si="66"/>
        <v>883.10000000000014</v>
      </c>
      <c r="D883" s="25">
        <f t="shared" si="67"/>
        <v>2016009</v>
      </c>
    </row>
    <row r="884" spans="1:4" x14ac:dyDescent="0.25">
      <c r="A884" s="12">
        <f>+'Rainfall Data'!B883</f>
        <v>42623</v>
      </c>
      <c r="B884" s="26" t="str">
        <f>+'Rainfall Data'!C883</f>
        <v>T</v>
      </c>
      <c r="C884" s="26">
        <f t="shared" si="66"/>
        <v>883.10000000000014</v>
      </c>
      <c r="D884" s="25">
        <f t="shared" si="67"/>
        <v>2016009</v>
      </c>
    </row>
    <row r="885" spans="1:4" x14ac:dyDescent="0.25">
      <c r="A885" s="12">
        <f>+'Rainfall Data'!B884</f>
        <v>42624</v>
      </c>
      <c r="B885" s="26">
        <f>+'Rainfall Data'!C884</f>
        <v>24.3</v>
      </c>
      <c r="C885" s="26">
        <f t="shared" si="66"/>
        <v>907.40000000000009</v>
      </c>
      <c r="D885" s="25">
        <f t="shared" si="67"/>
        <v>2016009</v>
      </c>
    </row>
    <row r="886" spans="1:4" x14ac:dyDescent="0.25">
      <c r="A886" s="12">
        <f>+'Rainfall Data'!B885</f>
        <v>42625</v>
      </c>
      <c r="B886" s="26">
        <f>+'Rainfall Data'!C885</f>
        <v>10.6</v>
      </c>
      <c r="C886" s="26">
        <f t="shared" si="66"/>
        <v>918.00000000000011</v>
      </c>
      <c r="D886" s="25">
        <f t="shared" si="67"/>
        <v>2016009</v>
      </c>
    </row>
    <row r="887" spans="1:4" x14ac:dyDescent="0.25">
      <c r="A887" s="12">
        <f>+'Rainfall Data'!B886</f>
        <v>42626</v>
      </c>
      <c r="B887" s="26">
        <f>+'Rainfall Data'!C886</f>
        <v>4.3</v>
      </c>
      <c r="C887" s="26">
        <f t="shared" si="66"/>
        <v>922.30000000000007</v>
      </c>
      <c r="D887" s="25">
        <f t="shared" si="67"/>
        <v>2016009</v>
      </c>
    </row>
    <row r="888" spans="1:4" x14ac:dyDescent="0.25">
      <c r="A888" s="12">
        <f>+'Rainfall Data'!B887</f>
        <v>42627</v>
      </c>
      <c r="B888" s="26">
        <f>+'Rainfall Data'!C887</f>
        <v>26</v>
      </c>
      <c r="C888" s="26">
        <f t="shared" si="66"/>
        <v>948.30000000000007</v>
      </c>
      <c r="D888" s="25">
        <f t="shared" si="67"/>
        <v>2016009</v>
      </c>
    </row>
    <row r="889" spans="1:4" x14ac:dyDescent="0.25">
      <c r="A889" s="12">
        <f>+'Rainfall Data'!B888</f>
        <v>42628</v>
      </c>
      <c r="B889" s="26">
        <f>+'Rainfall Data'!C888</f>
        <v>12.1</v>
      </c>
      <c r="C889" s="26">
        <f t="shared" si="66"/>
        <v>960.40000000000009</v>
      </c>
      <c r="D889" s="25">
        <f t="shared" si="67"/>
        <v>2016009</v>
      </c>
    </row>
    <row r="890" spans="1:4" x14ac:dyDescent="0.25">
      <c r="A890" s="12">
        <f>+'Rainfall Data'!B889</f>
        <v>42629</v>
      </c>
      <c r="B890" s="26">
        <f>+'Rainfall Data'!C889</f>
        <v>8.1999999999999993</v>
      </c>
      <c r="C890" s="26">
        <f t="shared" si="66"/>
        <v>968.60000000000014</v>
      </c>
      <c r="D890" s="25">
        <f t="shared" si="67"/>
        <v>2016009</v>
      </c>
    </row>
    <row r="891" spans="1:4" x14ac:dyDescent="0.25">
      <c r="A891" s="12">
        <f>+'Rainfall Data'!B890</f>
        <v>42630</v>
      </c>
      <c r="B891" s="26" t="str">
        <f>+'Rainfall Data'!C890</f>
        <v>T</v>
      </c>
      <c r="C891" s="26">
        <f t="shared" si="66"/>
        <v>968.60000000000014</v>
      </c>
      <c r="D891" s="25">
        <f t="shared" si="67"/>
        <v>2016009</v>
      </c>
    </row>
    <row r="892" spans="1:4" x14ac:dyDescent="0.25">
      <c r="A892" s="12">
        <f>+'Rainfall Data'!B891</f>
        <v>42631</v>
      </c>
      <c r="B892" s="26">
        <f>+'Rainfall Data'!C891</f>
        <v>0</v>
      </c>
      <c r="C892" s="26">
        <f t="shared" si="66"/>
        <v>968.60000000000014</v>
      </c>
      <c r="D892" s="25">
        <f t="shared" si="67"/>
        <v>2016009</v>
      </c>
    </row>
    <row r="893" spans="1:4" x14ac:dyDescent="0.25">
      <c r="A893" s="12">
        <f>+'Rainfall Data'!B892</f>
        <v>42632</v>
      </c>
      <c r="B893" s="26">
        <f>+'Rainfall Data'!C892</f>
        <v>26</v>
      </c>
      <c r="C893" s="26">
        <f t="shared" si="66"/>
        <v>994.60000000000014</v>
      </c>
      <c r="D893" s="25">
        <f t="shared" si="67"/>
        <v>2016009</v>
      </c>
    </row>
    <row r="894" spans="1:4" x14ac:dyDescent="0.25">
      <c r="A894" s="12">
        <f>+'Rainfall Data'!B893</f>
        <v>42633</v>
      </c>
      <c r="B894" s="26">
        <f>+'Rainfall Data'!C893</f>
        <v>23.4</v>
      </c>
      <c r="C894" s="26">
        <f t="shared" si="66"/>
        <v>1018.0000000000001</v>
      </c>
      <c r="D894" s="25">
        <f t="shared" si="67"/>
        <v>2016009</v>
      </c>
    </row>
    <row r="895" spans="1:4" x14ac:dyDescent="0.25">
      <c r="A895" s="12">
        <f>+'Rainfall Data'!B894</f>
        <v>42634</v>
      </c>
      <c r="B895" s="26">
        <f>+'Rainfall Data'!C894</f>
        <v>11.6</v>
      </c>
      <c r="C895" s="26">
        <f t="shared" si="66"/>
        <v>1029.6000000000001</v>
      </c>
      <c r="D895" s="25">
        <f t="shared" si="67"/>
        <v>2016009</v>
      </c>
    </row>
    <row r="896" spans="1:4" x14ac:dyDescent="0.25">
      <c r="A896" s="12">
        <f>+'Rainfall Data'!B895</f>
        <v>42635</v>
      </c>
      <c r="B896" s="26">
        <f>+'Rainfall Data'!C895</f>
        <v>22.4</v>
      </c>
      <c r="C896" s="26">
        <f t="shared" si="66"/>
        <v>1052.0000000000002</v>
      </c>
      <c r="D896" s="25">
        <f t="shared" si="67"/>
        <v>2016009</v>
      </c>
    </row>
    <row r="897" spans="1:4" x14ac:dyDescent="0.25">
      <c r="A897" s="12">
        <f>+'Rainfall Data'!B896</f>
        <v>42636</v>
      </c>
      <c r="B897" s="26">
        <f>+'Rainfall Data'!C896</f>
        <v>10</v>
      </c>
      <c r="C897" s="26">
        <f t="shared" si="66"/>
        <v>1062.0000000000002</v>
      </c>
      <c r="D897" s="25">
        <f t="shared" si="67"/>
        <v>2016009</v>
      </c>
    </row>
    <row r="898" spans="1:4" x14ac:dyDescent="0.25">
      <c r="A898" s="12">
        <f>+'Rainfall Data'!B897</f>
        <v>42637</v>
      </c>
      <c r="B898" s="26">
        <f>+'Rainfall Data'!C897</f>
        <v>11.3</v>
      </c>
      <c r="C898" s="26">
        <f t="shared" si="66"/>
        <v>1073.3000000000002</v>
      </c>
      <c r="D898" s="25">
        <f t="shared" si="67"/>
        <v>2016009</v>
      </c>
    </row>
    <row r="899" spans="1:4" x14ac:dyDescent="0.25">
      <c r="A899" s="12">
        <f>+'Rainfall Data'!B898</f>
        <v>42638</v>
      </c>
      <c r="B899" s="26" t="str">
        <f>+'Rainfall Data'!C898</f>
        <v>T</v>
      </c>
      <c r="C899" s="26">
        <f t="shared" si="66"/>
        <v>1073.3000000000002</v>
      </c>
      <c r="D899" s="25">
        <f t="shared" si="67"/>
        <v>2016009</v>
      </c>
    </row>
    <row r="900" spans="1:4" x14ac:dyDescent="0.25">
      <c r="A900" s="12">
        <f>+'Rainfall Data'!B899</f>
        <v>42639</v>
      </c>
      <c r="B900" s="26" t="str">
        <f>+'Rainfall Data'!C899</f>
        <v>T</v>
      </c>
      <c r="C900" s="26">
        <f t="shared" si="66"/>
        <v>1073.3000000000002</v>
      </c>
      <c r="D900" s="25">
        <f t="shared" si="67"/>
        <v>2016009</v>
      </c>
    </row>
    <row r="901" spans="1:4" x14ac:dyDescent="0.25">
      <c r="A901" s="12">
        <f>+'Rainfall Data'!B900</f>
        <v>42640</v>
      </c>
      <c r="B901" s="26">
        <f>+'Rainfall Data'!C900</f>
        <v>14.5</v>
      </c>
      <c r="C901" s="26">
        <f t="shared" si="66"/>
        <v>1087.8000000000002</v>
      </c>
      <c r="D901" s="25">
        <f t="shared" si="67"/>
        <v>2016009</v>
      </c>
    </row>
    <row r="902" spans="1:4" x14ac:dyDescent="0.25">
      <c r="A902" s="12">
        <f>+'Rainfall Data'!B901</f>
        <v>42641</v>
      </c>
      <c r="B902" s="26">
        <f>+'Rainfall Data'!C901</f>
        <v>20</v>
      </c>
      <c r="C902" s="26">
        <f t="shared" si="66"/>
        <v>1107.8000000000002</v>
      </c>
      <c r="D902" s="25">
        <f t="shared" si="67"/>
        <v>2016009</v>
      </c>
    </row>
    <row r="903" spans="1:4" x14ac:dyDescent="0.25">
      <c r="A903" s="12">
        <f>+'Rainfall Data'!B902</f>
        <v>42642</v>
      </c>
      <c r="B903" s="26">
        <f>+'Rainfall Data'!C902</f>
        <v>13.6</v>
      </c>
      <c r="C903" s="26">
        <f t="shared" si="66"/>
        <v>1121.4000000000001</v>
      </c>
      <c r="D903" s="25">
        <f t="shared" si="67"/>
        <v>2016009</v>
      </c>
    </row>
    <row r="904" spans="1:4" x14ac:dyDescent="0.25">
      <c r="A904" s="12"/>
      <c r="B904" s="26"/>
      <c r="C904" s="26"/>
      <c r="D904" s="25"/>
    </row>
  </sheetData>
  <phoneticPr fontId="23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1" fitToHeight="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"/>
  <sheetViews>
    <sheetView showGridLines="0" tabSelected="1" workbookViewId="0">
      <selection sqref="A1:M1"/>
    </sheetView>
  </sheetViews>
  <sheetFormatPr defaultRowHeight="14.4" x14ac:dyDescent="0.3"/>
  <cols>
    <col min="15" max="15" width="10.6640625" bestFit="1" customWidth="1"/>
  </cols>
  <sheetData>
    <row r="1" spans="1:15" ht="25.8" x14ac:dyDescent="0.5">
      <c r="A1" s="40" t="str">
        <f>+'Rainfall Totals'!B1 &amp; " " &amp; 'Rainfall Totals'!B2</f>
        <v>SN25 Fadugu Agricultural College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5" spans="1:15" x14ac:dyDescent="0.3">
      <c r="O5" s="1"/>
    </row>
  </sheetData>
  <mergeCells count="1">
    <mergeCell ref="A1:M1"/>
  </mergeCells>
  <phoneticPr fontId="23" type="noConversion"/>
  <pageMargins left="0.7" right="0.7" top="0.75" bottom="0.75" header="0.3" footer="0.3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Rainfall Data</vt:lpstr>
      <vt:lpstr>Rainfall Totals</vt:lpstr>
      <vt:lpstr>Report Graphs</vt:lpstr>
      <vt:lpstr>'Rainfall Totals'!Print_Titles</vt:lpstr>
    </vt:vector>
  </TitlesOfParts>
  <Company>Waterra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Dumble</cp:lastModifiedBy>
  <cp:lastPrinted>2014-06-10T17:58:40Z</cp:lastPrinted>
  <dcterms:created xsi:type="dcterms:W3CDTF">2013-01-13T18:28:41Z</dcterms:created>
  <dcterms:modified xsi:type="dcterms:W3CDTF">2016-12-14T10:11:29Z</dcterms:modified>
</cp:coreProperties>
</file>